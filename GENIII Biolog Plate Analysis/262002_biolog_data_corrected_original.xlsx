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bbt24002_uconn_edu/Documents/"/>
    </mc:Choice>
  </mc:AlternateContent>
  <xr:revisionPtr revIDLastSave="0" documentId="8_{DCFACB34-0A2C-4908-B05E-4619BE7D5A32}" xr6:coauthVersionLast="47" xr6:coauthVersionMax="47" xr10:uidLastSave="{00000000-0000-0000-0000-000000000000}"/>
  <bookViews>
    <workbookView xWindow="-110" yWindow="-110" windowWidth="19420" windowHeight="10300" xr2:uid="{CCE9295A-1127-4188-BA98-678ACB9851E7}"/>
  </bookViews>
  <sheets>
    <sheet name="26Feb_feature_table (590) " sheetId="1" r:id="rId1"/>
    <sheet name="CV_nata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F3" i="2"/>
  <c r="DF4" i="2"/>
  <c r="DF5" i="2"/>
  <c r="DF6" i="2"/>
  <c r="DF7" i="2"/>
  <c r="DF8" i="2"/>
  <c r="DF9" i="2"/>
  <c r="DF10" i="2"/>
  <c r="DF11" i="2"/>
  <c r="DF12" i="2"/>
  <c r="DF13" i="2"/>
  <c r="DF14" i="2"/>
  <c r="DF15" i="2"/>
  <c r="DF16" i="2"/>
  <c r="DF17" i="2"/>
  <c r="DF18" i="2"/>
  <c r="DF19" i="2"/>
  <c r="DF20" i="2"/>
  <c r="DF21" i="2"/>
  <c r="DF22" i="2"/>
  <c r="DF23" i="2"/>
  <c r="DF24" i="2"/>
  <c r="DF25" i="2"/>
  <c r="DF26" i="2"/>
  <c r="DF27" i="2"/>
  <c r="DF28" i="2"/>
  <c r="DF29" i="2"/>
  <c r="DF30" i="2"/>
  <c r="DF31" i="2"/>
  <c r="DF32" i="2"/>
  <c r="DF33" i="2"/>
  <c r="DF34" i="2"/>
  <c r="DF35" i="2"/>
  <c r="DF36" i="2"/>
  <c r="DF37" i="2"/>
  <c r="DF38" i="2"/>
  <c r="DF39" i="2"/>
  <c r="DF40" i="2"/>
  <c r="DF41" i="2"/>
  <c r="DF42" i="2"/>
  <c r="DF43" i="2"/>
  <c r="DF44" i="2"/>
  <c r="DF45" i="2"/>
  <c r="DF46" i="2"/>
  <c r="DF47" i="2"/>
  <c r="DF48" i="2"/>
  <c r="DF49" i="2"/>
  <c r="DF50" i="2"/>
  <c r="DF51" i="2"/>
  <c r="DF52" i="2"/>
  <c r="DF53" i="2"/>
  <c r="DF54" i="2"/>
  <c r="DF55" i="2"/>
  <c r="DF56" i="2"/>
  <c r="DF57" i="2"/>
  <c r="DF58" i="2"/>
  <c r="DF59" i="2"/>
  <c r="DF60" i="2"/>
  <c r="DF61" i="2"/>
  <c r="DF62" i="2"/>
  <c r="DF63" i="2"/>
  <c r="DF64" i="2"/>
  <c r="DF65" i="2"/>
  <c r="DF66" i="2"/>
  <c r="DF67" i="2"/>
  <c r="DF68" i="2"/>
  <c r="DF69" i="2"/>
  <c r="DF70" i="2"/>
  <c r="DF71" i="2"/>
  <c r="DF72" i="2"/>
  <c r="DF73" i="2"/>
  <c r="DF74" i="2"/>
  <c r="DF75" i="2"/>
  <c r="DF76" i="2"/>
  <c r="DF77" i="2"/>
  <c r="DF78" i="2"/>
  <c r="DF79" i="2"/>
  <c r="DF80" i="2"/>
  <c r="DF81" i="2"/>
  <c r="DF82" i="2"/>
  <c r="DF83" i="2"/>
  <c r="DF84" i="2"/>
  <c r="DF85" i="2"/>
  <c r="DF86" i="2"/>
  <c r="DF87" i="2"/>
  <c r="DF88" i="2"/>
  <c r="DF89" i="2"/>
  <c r="DF90" i="2"/>
  <c r="DF91" i="2"/>
  <c r="DF92" i="2"/>
  <c r="DF93" i="2"/>
  <c r="DF94" i="2"/>
  <c r="DF95" i="2"/>
  <c r="DF96" i="2"/>
  <c r="DF3" i="2"/>
  <c r="DD4" i="2"/>
  <c r="DD5" i="2"/>
  <c r="DD6" i="2"/>
  <c r="DD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31" i="2"/>
  <c r="DD32" i="2"/>
  <c r="DD33" i="2"/>
  <c r="DD34" i="2"/>
  <c r="DD35" i="2"/>
  <c r="DD36" i="2"/>
  <c r="DD37" i="2"/>
  <c r="DD38" i="2"/>
  <c r="DD39" i="2"/>
  <c r="DD40" i="2"/>
  <c r="DD41" i="2"/>
  <c r="DD42" i="2"/>
  <c r="DD43" i="2"/>
  <c r="DD44" i="2"/>
  <c r="DD45" i="2"/>
  <c r="DD46" i="2"/>
  <c r="DD47" i="2"/>
  <c r="DD48" i="2"/>
  <c r="DD49" i="2"/>
  <c r="DD50" i="2"/>
  <c r="DD51" i="2"/>
  <c r="DD52" i="2"/>
  <c r="DD53" i="2"/>
  <c r="DD54" i="2"/>
  <c r="DD55" i="2"/>
  <c r="DD56" i="2"/>
  <c r="DD57" i="2"/>
  <c r="DD58" i="2"/>
  <c r="DD59" i="2"/>
  <c r="DD60" i="2"/>
  <c r="DD61" i="2"/>
  <c r="DD62" i="2"/>
  <c r="DD63" i="2"/>
  <c r="DD64" i="2"/>
  <c r="DD65" i="2"/>
  <c r="DD66" i="2"/>
  <c r="DD67" i="2"/>
  <c r="DD68" i="2"/>
  <c r="DD69" i="2"/>
  <c r="DD70" i="2"/>
  <c r="DD71" i="2"/>
  <c r="DD72" i="2"/>
  <c r="DD73" i="2"/>
  <c r="DD74" i="2"/>
  <c r="DD75" i="2"/>
  <c r="DD76" i="2"/>
  <c r="DD77" i="2"/>
  <c r="DD78" i="2"/>
  <c r="DD79" i="2"/>
  <c r="DD80" i="2"/>
  <c r="DD81" i="2"/>
  <c r="DD82" i="2"/>
  <c r="DD83" i="2"/>
  <c r="DD84" i="2"/>
  <c r="DD85" i="2"/>
  <c r="DD86" i="2"/>
  <c r="DD87" i="2"/>
  <c r="DD88" i="2"/>
  <c r="DD89" i="2"/>
  <c r="DD90" i="2"/>
  <c r="DD91" i="2"/>
  <c r="DD92" i="2"/>
  <c r="DD93" i="2"/>
  <c r="DD94" i="2"/>
  <c r="DD95" i="2"/>
  <c r="DD96" i="2"/>
  <c r="DD3" i="2"/>
  <c r="DB4" i="2"/>
  <c r="DB5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31" i="2"/>
  <c r="DB32" i="2"/>
  <c r="DB33" i="2"/>
  <c r="DB34" i="2"/>
  <c r="DB35" i="2"/>
  <c r="DB36" i="2"/>
  <c r="DB37" i="2"/>
  <c r="DB38" i="2"/>
  <c r="DB39" i="2"/>
  <c r="DB40" i="2"/>
  <c r="DB41" i="2"/>
  <c r="DB42" i="2"/>
  <c r="DB43" i="2"/>
  <c r="DB44" i="2"/>
  <c r="DB45" i="2"/>
  <c r="DB46" i="2"/>
  <c r="DB47" i="2"/>
  <c r="DB48" i="2"/>
  <c r="DB49" i="2"/>
  <c r="DB50" i="2"/>
  <c r="DB51" i="2"/>
  <c r="DB52" i="2"/>
  <c r="DB53" i="2"/>
  <c r="DB54" i="2"/>
  <c r="DB55" i="2"/>
  <c r="DB56" i="2"/>
  <c r="DB57" i="2"/>
  <c r="DB58" i="2"/>
  <c r="DB59" i="2"/>
  <c r="DB60" i="2"/>
  <c r="DB61" i="2"/>
  <c r="DB62" i="2"/>
  <c r="DB63" i="2"/>
  <c r="DB64" i="2"/>
  <c r="DB65" i="2"/>
  <c r="DB66" i="2"/>
  <c r="DB67" i="2"/>
  <c r="DB68" i="2"/>
  <c r="DB69" i="2"/>
  <c r="DB70" i="2"/>
  <c r="DB71" i="2"/>
  <c r="DB72" i="2"/>
  <c r="DB73" i="2"/>
  <c r="DB74" i="2"/>
  <c r="DB75" i="2"/>
  <c r="DB76" i="2"/>
  <c r="DB77" i="2"/>
  <c r="DB78" i="2"/>
  <c r="DB79" i="2"/>
  <c r="DB80" i="2"/>
  <c r="DB81" i="2"/>
  <c r="DB82" i="2"/>
  <c r="DB83" i="2"/>
  <c r="DB84" i="2"/>
  <c r="DB85" i="2"/>
  <c r="DB86" i="2"/>
  <c r="DB87" i="2"/>
  <c r="DB88" i="2"/>
  <c r="DB89" i="2"/>
  <c r="DB90" i="2"/>
  <c r="DB91" i="2"/>
  <c r="DB92" i="2"/>
  <c r="DB93" i="2"/>
  <c r="DB94" i="2"/>
  <c r="DB95" i="2"/>
  <c r="DB96" i="2"/>
  <c r="DB3" i="2"/>
  <c r="CZ4" i="2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4" i="2"/>
  <c r="CZ35" i="2"/>
  <c r="CZ36" i="2"/>
  <c r="CZ37" i="2"/>
  <c r="CZ38" i="2"/>
  <c r="CZ39" i="2"/>
  <c r="CZ40" i="2"/>
  <c r="CZ41" i="2"/>
  <c r="CZ42" i="2"/>
  <c r="CZ43" i="2"/>
  <c r="CZ44" i="2"/>
  <c r="CZ45" i="2"/>
  <c r="CZ46" i="2"/>
  <c r="CZ47" i="2"/>
  <c r="CZ48" i="2"/>
  <c r="CZ49" i="2"/>
  <c r="CZ50" i="2"/>
  <c r="CZ51" i="2"/>
  <c r="CZ52" i="2"/>
  <c r="CZ53" i="2"/>
  <c r="CZ54" i="2"/>
  <c r="CZ55" i="2"/>
  <c r="CZ56" i="2"/>
  <c r="CZ57" i="2"/>
  <c r="CZ58" i="2"/>
  <c r="CZ59" i="2"/>
  <c r="CZ60" i="2"/>
  <c r="CZ61" i="2"/>
  <c r="CZ62" i="2"/>
  <c r="CZ63" i="2"/>
  <c r="CZ64" i="2"/>
  <c r="CZ65" i="2"/>
  <c r="CZ66" i="2"/>
  <c r="CZ67" i="2"/>
  <c r="CZ68" i="2"/>
  <c r="CZ69" i="2"/>
  <c r="CZ70" i="2"/>
  <c r="CZ71" i="2"/>
  <c r="CZ72" i="2"/>
  <c r="CZ73" i="2"/>
  <c r="CZ74" i="2"/>
  <c r="CZ75" i="2"/>
  <c r="CZ76" i="2"/>
  <c r="CZ77" i="2"/>
  <c r="CZ78" i="2"/>
  <c r="CZ79" i="2"/>
  <c r="CZ80" i="2"/>
  <c r="CZ81" i="2"/>
  <c r="CZ82" i="2"/>
  <c r="CZ83" i="2"/>
  <c r="CZ84" i="2"/>
  <c r="CZ85" i="2"/>
  <c r="CZ86" i="2"/>
  <c r="CZ87" i="2"/>
  <c r="CZ88" i="2"/>
  <c r="CZ89" i="2"/>
  <c r="CZ90" i="2"/>
  <c r="CZ91" i="2"/>
  <c r="CZ92" i="2"/>
  <c r="CZ93" i="2"/>
  <c r="CZ94" i="2"/>
  <c r="CZ95" i="2"/>
  <c r="CZ96" i="2"/>
  <c r="CZ3" i="2"/>
  <c r="CX4" i="2"/>
  <c r="CX5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X40" i="2"/>
  <c r="CX41" i="2"/>
  <c r="CX42" i="2"/>
  <c r="CX43" i="2"/>
  <c r="CX44" i="2"/>
  <c r="CX45" i="2"/>
  <c r="CX46" i="2"/>
  <c r="CX47" i="2"/>
  <c r="CX48" i="2"/>
  <c r="CX49" i="2"/>
  <c r="CX50" i="2"/>
  <c r="CX51" i="2"/>
  <c r="CX52" i="2"/>
  <c r="CX53" i="2"/>
  <c r="CX54" i="2"/>
  <c r="CX55" i="2"/>
  <c r="CX56" i="2"/>
  <c r="CX57" i="2"/>
  <c r="CX58" i="2"/>
  <c r="CX59" i="2"/>
  <c r="CX60" i="2"/>
  <c r="CX61" i="2"/>
  <c r="CX62" i="2"/>
  <c r="CX63" i="2"/>
  <c r="CX64" i="2"/>
  <c r="CX65" i="2"/>
  <c r="CX66" i="2"/>
  <c r="CX67" i="2"/>
  <c r="CX68" i="2"/>
  <c r="CX69" i="2"/>
  <c r="CX70" i="2"/>
  <c r="CX71" i="2"/>
  <c r="CX72" i="2"/>
  <c r="CX73" i="2"/>
  <c r="CX74" i="2"/>
  <c r="CX75" i="2"/>
  <c r="CX76" i="2"/>
  <c r="CX77" i="2"/>
  <c r="CX78" i="2"/>
  <c r="CX79" i="2"/>
  <c r="CX80" i="2"/>
  <c r="CX81" i="2"/>
  <c r="CX82" i="2"/>
  <c r="CX83" i="2"/>
  <c r="CX84" i="2"/>
  <c r="CX85" i="2"/>
  <c r="CX86" i="2"/>
  <c r="CX87" i="2"/>
  <c r="CX88" i="2"/>
  <c r="CX89" i="2"/>
  <c r="CX90" i="2"/>
  <c r="CX91" i="2"/>
  <c r="CX92" i="2"/>
  <c r="CX93" i="2"/>
  <c r="CX94" i="2"/>
  <c r="CX95" i="2"/>
  <c r="CX96" i="2"/>
  <c r="CX3" i="2"/>
  <c r="CV4" i="2"/>
  <c r="CV5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3" i="2"/>
  <c r="CT4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T94" i="2"/>
  <c r="CT95" i="2"/>
  <c r="CT96" i="2"/>
  <c r="CT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3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3" i="2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N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79" i="2"/>
  <c r="CL80" i="2"/>
  <c r="CL81" i="2"/>
  <c r="CL82" i="2"/>
  <c r="CL83" i="2"/>
  <c r="CL84" i="2"/>
  <c r="CL85" i="2"/>
  <c r="CL86" i="2"/>
  <c r="CL87" i="2"/>
  <c r="CL88" i="2"/>
  <c r="CL89" i="2"/>
  <c r="CL90" i="2"/>
  <c r="CL91" i="2"/>
  <c r="CL92" i="2"/>
  <c r="CL93" i="2"/>
  <c r="CL94" i="2"/>
  <c r="CL95" i="2"/>
  <c r="CL96" i="2"/>
  <c r="CL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3" i="2"/>
  <c r="CH4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F80" i="2"/>
  <c r="CF81" i="2"/>
  <c r="CF82" i="2"/>
  <c r="CF83" i="2"/>
  <c r="CF84" i="2"/>
  <c r="CF85" i="2"/>
  <c r="CF86" i="2"/>
  <c r="CF87" i="2"/>
  <c r="CF88" i="2"/>
  <c r="CF89" i="2"/>
  <c r="CF90" i="2"/>
  <c r="CF91" i="2"/>
  <c r="CF92" i="2"/>
  <c r="CF93" i="2"/>
  <c r="CF94" i="2"/>
  <c r="CF95" i="2"/>
  <c r="CF96" i="2"/>
  <c r="CF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3" i="2"/>
  <c r="CB4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88" i="2"/>
  <c r="CB89" i="2"/>
  <c r="CB90" i="2"/>
  <c r="CB91" i="2"/>
  <c r="CB92" i="2"/>
  <c r="CB93" i="2"/>
  <c r="CB94" i="2"/>
  <c r="CB95" i="2"/>
  <c r="CB96" i="2"/>
  <c r="CB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3" i="2"/>
</calcChain>
</file>

<file path=xl/sharedStrings.xml><?xml version="1.0" encoding="utf-8"?>
<sst xmlns="http://schemas.openxmlformats.org/spreadsheetml/2006/main" count="545" uniqueCount="248">
  <si>
    <t xml:space="preserve">WELL </t>
  </si>
  <si>
    <t xml:space="preserve">SUBSTRATE </t>
  </si>
  <si>
    <t xml:space="preserve">289-P1-0 </t>
  </si>
  <si>
    <t xml:space="preserve">289-P2-0 </t>
  </si>
  <si>
    <t xml:space="preserve">289-P3-0 </t>
  </si>
  <si>
    <t>289-P1-24</t>
  </si>
  <si>
    <t>289-P2-24</t>
  </si>
  <si>
    <t>289-P3-24</t>
  </si>
  <si>
    <t>289-P1-48</t>
  </si>
  <si>
    <t>289-P2-48</t>
  </si>
  <si>
    <t>289-P3-48</t>
  </si>
  <si>
    <t>289-P1-72</t>
  </si>
  <si>
    <t>289-P2-72</t>
  </si>
  <si>
    <t>289-P3-72</t>
  </si>
  <si>
    <t>289-P1-96</t>
  </si>
  <si>
    <t>289-P2-96</t>
  </si>
  <si>
    <t>289-P3-96</t>
  </si>
  <si>
    <t>289-P1-120</t>
  </si>
  <si>
    <t>289-P2-120</t>
  </si>
  <si>
    <t>289-P3-120</t>
  </si>
  <si>
    <t>358-P1-0</t>
  </si>
  <si>
    <t>358 -P2-0</t>
  </si>
  <si>
    <t>358 -P3-0</t>
  </si>
  <si>
    <t>358 -P1-24</t>
  </si>
  <si>
    <t>358 -P2-24</t>
  </si>
  <si>
    <t>358 -P3-24</t>
  </si>
  <si>
    <t>358 -P1-48</t>
  </si>
  <si>
    <t>358 -P2-48</t>
  </si>
  <si>
    <t>358-P3-48</t>
  </si>
  <si>
    <t>358-P1-72</t>
  </si>
  <si>
    <t>358-P2-72</t>
  </si>
  <si>
    <t>358-P3-72</t>
  </si>
  <si>
    <t>358-P1-96</t>
  </si>
  <si>
    <t>358-P2-96</t>
  </si>
  <si>
    <t>358-P3-96</t>
  </si>
  <si>
    <t>358-P1-120</t>
  </si>
  <si>
    <t>358-P2-120</t>
  </si>
  <si>
    <t>358-P3-120</t>
  </si>
  <si>
    <t>366-P1-0</t>
  </si>
  <si>
    <t>366-P2-0</t>
  </si>
  <si>
    <t>366-P3-0</t>
  </si>
  <si>
    <t>366-P1-24</t>
  </si>
  <si>
    <t>366-P2-24</t>
  </si>
  <si>
    <t>366-P3-24</t>
  </si>
  <si>
    <t>366-P1-48</t>
  </si>
  <si>
    <t>366-P2-48</t>
  </si>
  <si>
    <t>366-P3-48</t>
  </si>
  <si>
    <t>366-P1-72</t>
  </si>
  <si>
    <t>366-P2-72</t>
  </si>
  <si>
    <t>366-P3-72</t>
  </si>
  <si>
    <t>366-P1-96</t>
  </si>
  <si>
    <t>366-P2-96</t>
  </si>
  <si>
    <t>366-P3-96</t>
  </si>
  <si>
    <t>366-P1-120</t>
  </si>
  <si>
    <t>366-P2-120</t>
  </si>
  <si>
    <t>366-P3-120</t>
  </si>
  <si>
    <t>A2</t>
  </si>
  <si>
    <t>Dextrin</t>
  </si>
  <si>
    <t>A3</t>
  </si>
  <si>
    <t>D-Maltose</t>
  </si>
  <si>
    <t>A4</t>
  </si>
  <si>
    <t>D-Trehalose</t>
  </si>
  <si>
    <t>A5</t>
  </si>
  <si>
    <t>D-Cellobiose</t>
  </si>
  <si>
    <t>CV</t>
  </si>
  <si>
    <t>A6</t>
  </si>
  <si>
    <t>Gentiobiose</t>
  </si>
  <si>
    <t>A7</t>
  </si>
  <si>
    <t>Sucrose</t>
  </si>
  <si>
    <t>A8</t>
  </si>
  <si>
    <t>D-Turanose</t>
  </si>
  <si>
    <t>A9</t>
  </si>
  <si>
    <t>Stachyose</t>
  </si>
  <si>
    <t>A11</t>
  </si>
  <si>
    <t>pH 6</t>
  </si>
  <si>
    <t>A12</t>
  </si>
  <si>
    <t>pH 5</t>
  </si>
  <si>
    <t>B1</t>
  </si>
  <si>
    <t>D-Raffinose</t>
  </si>
  <si>
    <t>B2</t>
  </si>
  <si>
    <t>α-D-Lactose</t>
  </si>
  <si>
    <t>B3</t>
  </si>
  <si>
    <t>D-Melibiose</t>
  </si>
  <si>
    <t>B4</t>
  </si>
  <si>
    <t>β-Methyl-D-Glucoside</t>
  </si>
  <si>
    <t>B5</t>
  </si>
  <si>
    <t>D-Salicin</t>
  </si>
  <si>
    <t>B6</t>
  </si>
  <si>
    <t>N-Acetyl-D-Glucosamine</t>
  </si>
  <si>
    <t>B7</t>
  </si>
  <si>
    <t>N-Acetyl-β-D-Mannosamine</t>
  </si>
  <si>
    <t>B8</t>
  </si>
  <si>
    <t>N-Acetyl-D-Galactosamine</t>
  </si>
  <si>
    <t>B9</t>
  </si>
  <si>
    <t>N-AcetylNeuraminic Acid</t>
  </si>
  <si>
    <t>B10</t>
  </si>
  <si>
    <t>1% NaCl</t>
  </si>
  <si>
    <t>B11</t>
  </si>
  <si>
    <t>4% NaCl</t>
  </si>
  <si>
    <t>B12</t>
  </si>
  <si>
    <t>8% NaCl</t>
  </si>
  <si>
    <t>C1</t>
  </si>
  <si>
    <t>α-D-Glucose</t>
  </si>
  <si>
    <t>C2</t>
  </si>
  <si>
    <t>D-Mannose</t>
  </si>
  <si>
    <t>C3</t>
  </si>
  <si>
    <t>D-Fructose</t>
  </si>
  <si>
    <t>C4</t>
  </si>
  <si>
    <t>D-Galactose</t>
  </si>
  <si>
    <t>C5</t>
  </si>
  <si>
    <t>3-Methyl Glucose</t>
  </si>
  <si>
    <t>C6</t>
  </si>
  <si>
    <t>D-Fucose</t>
  </si>
  <si>
    <t>C7</t>
  </si>
  <si>
    <t>L-Fucose</t>
  </si>
  <si>
    <t>C8</t>
  </si>
  <si>
    <t>L-Rhamnose</t>
  </si>
  <si>
    <t>C9</t>
  </si>
  <si>
    <t>Inosine</t>
  </si>
  <si>
    <t>C10</t>
  </si>
  <si>
    <t>1% Sodium Lactate</t>
  </si>
  <si>
    <t>C11</t>
  </si>
  <si>
    <t>Fusidic Acid</t>
  </si>
  <si>
    <t>C12</t>
  </si>
  <si>
    <t>D-Serine-chemical</t>
  </si>
  <si>
    <t>D1</t>
  </si>
  <si>
    <t>D-Sorbitol</t>
  </si>
  <si>
    <t>D2</t>
  </si>
  <si>
    <t>D-Mannitol</t>
  </si>
  <si>
    <t>D3</t>
  </si>
  <si>
    <t>D-Arabitol</t>
  </si>
  <si>
    <t>D4</t>
  </si>
  <si>
    <t>myo-Inositol</t>
  </si>
  <si>
    <t>D5</t>
  </si>
  <si>
    <t>Glycerol</t>
  </si>
  <si>
    <t>D6</t>
  </si>
  <si>
    <t>D-Glucose-6-PO4</t>
  </si>
  <si>
    <t>D7</t>
  </si>
  <si>
    <t>D-Fructose-6-PO4</t>
  </si>
  <si>
    <t>D8</t>
  </si>
  <si>
    <t>D-Aspartic Acid</t>
  </si>
  <si>
    <t>D9</t>
  </si>
  <si>
    <t>D-Serine</t>
  </si>
  <si>
    <t>D10</t>
  </si>
  <si>
    <t>Troleandomycin</t>
  </si>
  <si>
    <t>D11</t>
  </si>
  <si>
    <t>Rifamycin SV</t>
  </si>
  <si>
    <t>D12</t>
  </si>
  <si>
    <t>Minocycline</t>
  </si>
  <si>
    <t>E1</t>
  </si>
  <si>
    <t>Gelatin</t>
  </si>
  <si>
    <t>E2</t>
  </si>
  <si>
    <t>Glycyl-L-Proline</t>
  </si>
  <si>
    <t>E3</t>
  </si>
  <si>
    <t>L-Alanine</t>
  </si>
  <si>
    <t>E4</t>
  </si>
  <si>
    <t>L-Arginine</t>
  </si>
  <si>
    <t>E5</t>
  </si>
  <si>
    <t>L-Aspartic Acid</t>
  </si>
  <si>
    <t>E6</t>
  </si>
  <si>
    <t>L-Glutamic Acid</t>
  </si>
  <si>
    <t>E7</t>
  </si>
  <si>
    <t>L-Histidine</t>
  </si>
  <si>
    <t>E8</t>
  </si>
  <si>
    <t>L-Pyroglutamic Acid</t>
  </si>
  <si>
    <t>E9</t>
  </si>
  <si>
    <t>L-Serine</t>
  </si>
  <si>
    <t>E10</t>
  </si>
  <si>
    <t>Lincomycin</t>
  </si>
  <si>
    <t>E11</t>
  </si>
  <si>
    <t>Guanidine HCl</t>
  </si>
  <si>
    <t>E12</t>
  </si>
  <si>
    <t>Niaproof 4</t>
  </si>
  <si>
    <t>F1</t>
  </si>
  <si>
    <t>Pectin</t>
  </si>
  <si>
    <t>F2</t>
  </si>
  <si>
    <t>D-Galacturonic Acid</t>
  </si>
  <si>
    <t>F3</t>
  </si>
  <si>
    <t>L-Galactonic Acid Lactone</t>
  </si>
  <si>
    <t>F4</t>
  </si>
  <si>
    <t>D-Gluconic Acid</t>
  </si>
  <si>
    <t>F5</t>
  </si>
  <si>
    <t>D-Glucuronic Acid</t>
  </si>
  <si>
    <t>F6</t>
  </si>
  <si>
    <t>Glucuronamide</t>
  </si>
  <si>
    <t>F7</t>
  </si>
  <si>
    <t>Mucic Acid</t>
  </si>
  <si>
    <t>F8</t>
  </si>
  <si>
    <t>Quinic Acid</t>
  </si>
  <si>
    <t>F9</t>
  </si>
  <si>
    <t>D-Saccharic Acid</t>
  </si>
  <si>
    <t>F10</t>
  </si>
  <si>
    <t>Vancomycin</t>
  </si>
  <si>
    <t>F11</t>
  </si>
  <si>
    <t>Tetrazolium Violet</t>
  </si>
  <si>
    <t>F12</t>
  </si>
  <si>
    <t>Tetrazolium Blue</t>
  </si>
  <si>
    <t>G1</t>
  </si>
  <si>
    <t>p-Hydroxy-Phenylacetic Acid</t>
  </si>
  <si>
    <t>G2</t>
  </si>
  <si>
    <t>Methyl Pyruvate</t>
  </si>
  <si>
    <t>G3</t>
  </si>
  <si>
    <t>D-Lactic Acid Methyl Ester</t>
  </si>
  <si>
    <t>G4</t>
  </si>
  <si>
    <t>L-Lactic Acid</t>
  </si>
  <si>
    <t>G5</t>
  </si>
  <si>
    <t>Citric Acid</t>
  </si>
  <si>
    <t>G6</t>
  </si>
  <si>
    <t>α-Keto-Glutaric Acid</t>
  </si>
  <si>
    <t>G7</t>
  </si>
  <si>
    <t>D-Malic Acid</t>
  </si>
  <si>
    <t>G8</t>
  </si>
  <si>
    <t>L-Malic Acid</t>
  </si>
  <si>
    <t>G9</t>
  </si>
  <si>
    <t>Bromo-Succinic Acid</t>
  </si>
  <si>
    <t>G10</t>
  </si>
  <si>
    <t>Nalidixic Acid</t>
  </si>
  <si>
    <t>G11</t>
  </si>
  <si>
    <t>Lithium Chloride</t>
  </si>
  <si>
    <t>G12</t>
  </si>
  <si>
    <t>Potassium Tellurite</t>
  </si>
  <si>
    <t>H1</t>
  </si>
  <si>
    <t>Tween 40</t>
  </si>
  <si>
    <t>H2</t>
  </si>
  <si>
    <t>γ-Amino-Butryric Acid</t>
  </si>
  <si>
    <t>H3</t>
  </si>
  <si>
    <t>α-Hydroxy-Butyric Acid</t>
  </si>
  <si>
    <t>H4</t>
  </si>
  <si>
    <t>β-Hydroxy-D,L-Butyric Acid</t>
  </si>
  <si>
    <t>H5</t>
  </si>
  <si>
    <t>α-Keto-Butyric Acid</t>
  </si>
  <si>
    <t>H6</t>
  </si>
  <si>
    <t>Acetoacetic Acid</t>
  </si>
  <si>
    <t>H7</t>
  </si>
  <si>
    <t>Propionic Acid</t>
  </si>
  <si>
    <t>H8</t>
  </si>
  <si>
    <t>Acetic Acid</t>
  </si>
  <si>
    <t>H9</t>
  </si>
  <si>
    <t>Formic Acid</t>
  </si>
  <si>
    <t>H10</t>
  </si>
  <si>
    <t>Aztreonam</t>
  </si>
  <si>
    <t>H11</t>
  </si>
  <si>
    <t>Sodium Butyrate</t>
  </si>
  <si>
    <t>H12</t>
  </si>
  <si>
    <t>Sodium Bromate</t>
  </si>
  <si>
    <t>corrected</t>
  </si>
  <si>
    <t>A1</t>
  </si>
  <si>
    <t xml:space="preserve">Negative ctrl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</si>
</sst>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0C1E-29C7-40AF-B1DF-1529DA10D4D5}">
  <dimension ref="A1:BD95"/>
  <sheetViews>
    <sheetView tabSelected="1" workbookViewId="0">
      <selection activeCell="BB5" sqref="BB5"/>
    </sheetView>
  </sheetViews>
  <sheetFormatPr defaultRowHeight="14.45"/>
  <cols>
    <col min="2" max="2" width="27.28515625" customWidth="1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C2" s="1">
        <v>5.099999999999999E-2</v>
      </c>
      <c r="D2">
        <v>6.8000000000000005E-2</v>
      </c>
      <c r="E2">
        <v>3.7999999999999978E-2</v>
      </c>
      <c r="F2">
        <v>0.51</v>
      </c>
      <c r="G2">
        <v>0.6419999999999999</v>
      </c>
      <c r="H2">
        <v>0.627</v>
      </c>
      <c r="I2">
        <v>1.018</v>
      </c>
      <c r="J2">
        <v>1.022</v>
      </c>
      <c r="K2">
        <v>0.9830000000000001</v>
      </c>
      <c r="L2">
        <v>0.96900000000000008</v>
      </c>
      <c r="M2">
        <v>1.026</v>
      </c>
      <c r="N2">
        <v>0.96800000000000008</v>
      </c>
      <c r="O2">
        <v>1.056</v>
      </c>
      <c r="P2">
        <v>1.002</v>
      </c>
      <c r="Q2">
        <v>0.89600000000000013</v>
      </c>
      <c r="R2">
        <v>1.0900000000000001</v>
      </c>
      <c r="S2">
        <v>0.9890000000000001</v>
      </c>
      <c r="T2">
        <v>0.77800000000000002</v>
      </c>
      <c r="U2" s="3">
        <v>3.2999999999999988E-2</v>
      </c>
      <c r="V2" s="3">
        <v>2.700000000000001E-2</v>
      </c>
      <c r="W2" s="3">
        <v>6.8999999999999992E-2</v>
      </c>
      <c r="X2" s="3">
        <v>0.52800000000000002</v>
      </c>
      <c r="Y2" s="3">
        <v>0.55400000000000005</v>
      </c>
      <c r="Z2" s="3">
        <v>0.54</v>
      </c>
      <c r="AA2" s="3">
        <v>0.93699999999999994</v>
      </c>
      <c r="AB2" s="3">
        <v>0.95</v>
      </c>
      <c r="AC2" s="3">
        <v>0.95500000000000007</v>
      </c>
      <c r="AD2" s="3">
        <v>0.87500000000000011</v>
      </c>
      <c r="AE2" s="3">
        <v>0.874</v>
      </c>
      <c r="AF2" s="3">
        <v>0.88000000000000012</v>
      </c>
      <c r="AG2" s="3">
        <v>0.88800000000000001</v>
      </c>
      <c r="AH2" s="3">
        <v>0.8600000000000001</v>
      </c>
      <c r="AI2" s="3">
        <v>0.87700000000000011</v>
      </c>
      <c r="AJ2" s="3">
        <v>0.88900000000000012</v>
      </c>
      <c r="AK2" s="3">
        <v>0.87200000000000011</v>
      </c>
      <c r="AL2" s="3">
        <v>0.87600000000000011</v>
      </c>
      <c r="AM2" s="3">
        <v>3.0000000000000027E-3</v>
      </c>
      <c r="AN2" s="3">
        <v>1.7000000000000001E-2</v>
      </c>
      <c r="AO2" s="3">
        <v>-0.30099999999999999</v>
      </c>
      <c r="AP2" s="3">
        <v>0.57300000000000006</v>
      </c>
      <c r="AQ2" s="3">
        <v>0.54499999999999993</v>
      </c>
      <c r="AR2" s="3">
        <v>0.46400000000000002</v>
      </c>
      <c r="AS2" s="3">
        <v>0.93700000000000006</v>
      </c>
      <c r="AT2" s="3">
        <v>0.96</v>
      </c>
      <c r="AU2" s="3">
        <v>0.93899999999999995</v>
      </c>
      <c r="AV2">
        <v>0.90100000000000013</v>
      </c>
      <c r="AW2">
        <v>0.87999999999999989</v>
      </c>
      <c r="AX2">
        <v>0.89800000000000013</v>
      </c>
      <c r="AY2">
        <v>0.87000000000000011</v>
      </c>
      <c r="AZ2">
        <v>0.85000000000000009</v>
      </c>
      <c r="BA2">
        <v>0.8660000000000001</v>
      </c>
      <c r="BB2">
        <v>0.873</v>
      </c>
      <c r="BC2">
        <v>0.84599999999999986</v>
      </c>
      <c r="BD2">
        <v>0.88200000000000001</v>
      </c>
    </row>
    <row r="3" spans="1:56">
      <c r="A3" t="s">
        <v>58</v>
      </c>
      <c r="B3" t="s">
        <v>59</v>
      </c>
      <c r="C3" s="1">
        <v>-2.0000000000000018E-3</v>
      </c>
      <c r="D3">
        <v>1.4000000000000012E-2</v>
      </c>
      <c r="E3">
        <v>-3.2000000000000015E-2</v>
      </c>
      <c r="F3">
        <v>0.51800000000000002</v>
      </c>
      <c r="G3">
        <v>0.57099999999999995</v>
      </c>
      <c r="H3">
        <v>0.55799999999999994</v>
      </c>
      <c r="I3">
        <v>0.83899999999999997</v>
      </c>
      <c r="J3">
        <v>0.8839999999999999</v>
      </c>
      <c r="K3">
        <v>0.91800000000000015</v>
      </c>
      <c r="L3">
        <v>0.92900000000000005</v>
      </c>
      <c r="M3">
        <v>0.96199999999999997</v>
      </c>
      <c r="N3">
        <v>0.9900000000000001</v>
      </c>
      <c r="O3">
        <v>0.83400000000000007</v>
      </c>
      <c r="P3">
        <v>0.746</v>
      </c>
      <c r="Q3">
        <v>1.004</v>
      </c>
      <c r="R3">
        <v>0.81299999999999994</v>
      </c>
      <c r="S3">
        <v>0.62200000000000011</v>
      </c>
      <c r="T3">
        <v>0.59400000000000008</v>
      </c>
      <c r="U3" s="3">
        <v>6.0000000000000053E-3</v>
      </c>
      <c r="V3" s="3">
        <v>1.9000000000000003E-2</v>
      </c>
      <c r="W3" s="3">
        <v>4.5999999999999999E-2</v>
      </c>
      <c r="X3" s="3">
        <v>0.54099999999999993</v>
      </c>
      <c r="Y3" s="3">
        <v>0.56800000000000006</v>
      </c>
      <c r="Z3" s="3">
        <v>0.54800000000000004</v>
      </c>
      <c r="AA3" s="3">
        <v>0.80199999999999994</v>
      </c>
      <c r="AB3" s="3">
        <v>0.84699999999999998</v>
      </c>
      <c r="AC3" s="3">
        <v>0.74099999999999999</v>
      </c>
      <c r="AD3" s="3">
        <v>0.8650000000000001</v>
      </c>
      <c r="AE3" s="3">
        <v>0.84599999999999997</v>
      </c>
      <c r="AF3" s="3">
        <v>0.87200000000000011</v>
      </c>
      <c r="AG3" s="3">
        <v>0.93299999999999994</v>
      </c>
      <c r="AH3" s="3">
        <v>0.93399999999999994</v>
      </c>
      <c r="AI3" s="3">
        <v>0.90699999999999992</v>
      </c>
      <c r="AJ3" s="3">
        <v>0.90600000000000003</v>
      </c>
      <c r="AK3" s="3">
        <v>0.94</v>
      </c>
      <c r="AL3" s="3">
        <v>0.877</v>
      </c>
      <c r="AM3" s="3">
        <v>-5.2000000000000005E-2</v>
      </c>
      <c r="AN3" s="3">
        <v>6.0000000000000053E-3</v>
      </c>
      <c r="AO3" s="3">
        <v>-0.36399999999999999</v>
      </c>
      <c r="AP3" s="3">
        <v>0.55700000000000005</v>
      </c>
      <c r="AQ3" s="3">
        <v>0.54600000000000004</v>
      </c>
      <c r="AR3" s="3">
        <v>0.49200000000000005</v>
      </c>
      <c r="AS3" s="3">
        <v>0.81099999999999994</v>
      </c>
      <c r="AT3" s="3">
        <v>0.81799999999999984</v>
      </c>
      <c r="AU3" s="3">
        <v>0.745</v>
      </c>
      <c r="AV3">
        <v>0.81100000000000005</v>
      </c>
      <c r="AW3">
        <v>0.89300000000000002</v>
      </c>
      <c r="AX3">
        <v>0.82299999999999995</v>
      </c>
      <c r="AY3">
        <v>0.76200000000000001</v>
      </c>
      <c r="AZ3">
        <v>0.91000000000000014</v>
      </c>
      <c r="BA3">
        <v>0.86699999999999999</v>
      </c>
      <c r="BB3">
        <v>0.80200000000000005</v>
      </c>
      <c r="BC3">
        <v>0.87799999999999989</v>
      </c>
      <c r="BD3">
        <v>0.93499999999999994</v>
      </c>
    </row>
    <row r="4" spans="1:56">
      <c r="A4" t="s">
        <v>60</v>
      </c>
      <c r="B4" t="s">
        <v>61</v>
      </c>
      <c r="C4" s="1">
        <v>6.0000000000000053E-3</v>
      </c>
      <c r="D4">
        <v>1.4000000000000012E-2</v>
      </c>
      <c r="E4">
        <v>-2.8000000000000011E-2</v>
      </c>
      <c r="F4">
        <v>0.56099999999999994</v>
      </c>
      <c r="G4">
        <v>0.629</v>
      </c>
      <c r="H4">
        <v>0.70099999999999996</v>
      </c>
      <c r="I4">
        <v>0.76600000000000001</v>
      </c>
      <c r="J4">
        <v>0.78599999999999992</v>
      </c>
      <c r="K4">
        <v>0.8600000000000001</v>
      </c>
      <c r="L4">
        <v>0.78899999999999992</v>
      </c>
      <c r="M4">
        <v>0.78800000000000003</v>
      </c>
      <c r="N4">
        <v>0.80100000000000005</v>
      </c>
      <c r="O4">
        <v>0.77</v>
      </c>
      <c r="P4">
        <v>0.80299999999999994</v>
      </c>
      <c r="Q4">
        <v>0.64300000000000002</v>
      </c>
      <c r="R4">
        <v>0.73399999999999999</v>
      </c>
      <c r="S4">
        <v>0.77600000000000002</v>
      </c>
      <c r="T4">
        <v>0.67399999999999993</v>
      </c>
      <c r="U4" s="3">
        <v>8.9999999999999941E-3</v>
      </c>
      <c r="V4" s="3">
        <v>1.0999999999999996E-2</v>
      </c>
      <c r="W4" s="3">
        <v>3.599999999999999E-2</v>
      </c>
      <c r="X4" s="3">
        <v>0.56800000000000006</v>
      </c>
      <c r="Y4" s="3">
        <v>0.57400000000000007</v>
      </c>
      <c r="Z4" s="3">
        <v>0.51200000000000001</v>
      </c>
      <c r="AA4" s="3">
        <v>0.73899999999999999</v>
      </c>
      <c r="AB4" s="3">
        <v>0.74299999999999999</v>
      </c>
      <c r="AC4" s="3">
        <v>0.64700000000000002</v>
      </c>
      <c r="AD4" s="3">
        <v>0.76600000000000001</v>
      </c>
      <c r="AE4" s="3">
        <v>0.82500000000000007</v>
      </c>
      <c r="AF4" s="3">
        <v>0.73299999999999998</v>
      </c>
      <c r="AG4" s="3">
        <v>0.78799999999999992</v>
      </c>
      <c r="AH4" s="3">
        <v>0.94700000000000006</v>
      </c>
      <c r="AI4" s="3">
        <v>0.78300000000000003</v>
      </c>
      <c r="AJ4" s="3">
        <v>0.85199999999999998</v>
      </c>
      <c r="AK4" s="3">
        <v>0.89500000000000002</v>
      </c>
      <c r="AL4" s="3">
        <v>0.79499999999999993</v>
      </c>
      <c r="AM4" s="3">
        <v>-5.3000000000000005E-2</v>
      </c>
      <c r="AN4" s="3">
        <v>1.3999999999999999E-2</v>
      </c>
      <c r="AO4" s="3">
        <v>-0.371</v>
      </c>
      <c r="AP4" s="3">
        <v>0.59200000000000008</v>
      </c>
      <c r="AQ4" s="3">
        <v>0.56099999999999994</v>
      </c>
      <c r="AR4" s="3">
        <v>0.53699999999999992</v>
      </c>
      <c r="AS4" s="3">
        <v>0.74</v>
      </c>
      <c r="AT4" s="3">
        <v>0.72300000000000009</v>
      </c>
      <c r="AU4" s="3">
        <v>0.71800000000000008</v>
      </c>
      <c r="AV4">
        <v>0.77900000000000003</v>
      </c>
      <c r="AW4">
        <v>0.74299999999999988</v>
      </c>
      <c r="AX4">
        <v>0.81600000000000006</v>
      </c>
      <c r="AY4">
        <v>0.82400000000000007</v>
      </c>
      <c r="AZ4">
        <v>0.82200000000000006</v>
      </c>
      <c r="BA4">
        <v>0.92199999999999993</v>
      </c>
      <c r="BB4">
        <v>0.879</v>
      </c>
      <c r="BC4">
        <v>0.81199999999999983</v>
      </c>
      <c r="BD4">
        <v>0.86599999999999999</v>
      </c>
    </row>
    <row r="5" spans="1:56">
      <c r="A5" t="s">
        <v>62</v>
      </c>
      <c r="B5" t="s">
        <v>63</v>
      </c>
      <c r="C5" s="1">
        <v>-1.4999999999999999E-2</v>
      </c>
      <c r="D5">
        <v>-8.9999999999999941E-3</v>
      </c>
      <c r="E5">
        <v>-2.8000000000000011E-2</v>
      </c>
      <c r="F5">
        <v>1.6000000000000014E-2</v>
      </c>
      <c r="G5">
        <v>4.7000000000000014E-2</v>
      </c>
      <c r="H5">
        <v>5.8999999999999997E-2</v>
      </c>
      <c r="I5">
        <v>2.4999999999999994E-2</v>
      </c>
      <c r="J5">
        <v>0.06</v>
      </c>
      <c r="K5">
        <v>5.4999999999999993E-2</v>
      </c>
      <c r="L5">
        <v>1.7999999999999988E-2</v>
      </c>
      <c r="M5">
        <v>5.1999999999999991E-2</v>
      </c>
      <c r="N5">
        <v>5.0000000000000017E-2</v>
      </c>
      <c r="O5">
        <v>1.2999999999999984E-2</v>
      </c>
      <c r="P5">
        <v>4.4000000000000011E-2</v>
      </c>
      <c r="Q5">
        <v>-1.6999999999999987E-2</v>
      </c>
      <c r="R5">
        <v>1.2999999999999984E-2</v>
      </c>
      <c r="S5">
        <v>2.8999999999999998E-2</v>
      </c>
      <c r="T5">
        <v>-7.0000000000000062E-3</v>
      </c>
      <c r="U5" s="3">
        <v>2.4000000000000007E-2</v>
      </c>
      <c r="V5" s="3">
        <v>8.9999999999999941E-3</v>
      </c>
      <c r="W5" s="3">
        <v>1.3999999999999999E-2</v>
      </c>
      <c r="X5" s="3">
        <v>5.7999999999999996E-2</v>
      </c>
      <c r="Y5" s="3">
        <v>5.099999999999999E-2</v>
      </c>
      <c r="Z5" s="3">
        <v>3.9000000000000007E-2</v>
      </c>
      <c r="AA5" s="3">
        <v>7.2000000000000036E-2</v>
      </c>
      <c r="AB5" s="3">
        <v>4.9000000000000016E-2</v>
      </c>
      <c r="AC5" s="3">
        <v>4.4000000000000011E-2</v>
      </c>
      <c r="AD5" s="3">
        <v>6.2000000000000027E-2</v>
      </c>
      <c r="AE5" s="3">
        <v>4.0000000000000008E-2</v>
      </c>
      <c r="AF5" s="3">
        <v>4.1000000000000009E-2</v>
      </c>
      <c r="AG5" s="3">
        <v>7.099999999999998E-2</v>
      </c>
      <c r="AH5" s="3">
        <v>0.03</v>
      </c>
      <c r="AI5" s="3">
        <v>3.9000000000000007E-2</v>
      </c>
      <c r="AJ5" s="3">
        <v>6.6999999999999976E-2</v>
      </c>
      <c r="AK5" s="3">
        <v>3.6999999999999977E-2</v>
      </c>
      <c r="AL5" s="3">
        <v>3.8000000000000006E-2</v>
      </c>
      <c r="AM5" s="3">
        <v>-5.1000000000000004E-2</v>
      </c>
      <c r="AN5" s="3">
        <v>-2.0000000000000018E-3</v>
      </c>
      <c r="AO5" s="3">
        <v>-0.373</v>
      </c>
      <c r="AP5" s="3">
        <v>8.0000000000000071E-3</v>
      </c>
      <c r="AQ5" s="3">
        <v>3.8000000000000006E-2</v>
      </c>
      <c r="AR5" s="3">
        <v>3.9000000000000007E-2</v>
      </c>
      <c r="AS5" s="3">
        <v>7.0000000000000062E-3</v>
      </c>
      <c r="AT5" s="3">
        <v>3.5000000000000003E-2</v>
      </c>
      <c r="AU5" s="3">
        <v>2.7999999999999997E-2</v>
      </c>
      <c r="AV5">
        <v>2.0000000000000018E-3</v>
      </c>
      <c r="AW5">
        <v>2.8999999999999998E-2</v>
      </c>
      <c r="AX5">
        <v>2.2999999999999993E-2</v>
      </c>
      <c r="AY5">
        <v>5.0000000000000044E-3</v>
      </c>
      <c r="AZ5">
        <v>2.1000000000000019E-2</v>
      </c>
      <c r="BA5">
        <v>1.4000000000000012E-2</v>
      </c>
      <c r="BB5" t="s">
        <v>64</v>
      </c>
      <c r="BC5">
        <v>1.2999999999999984E-2</v>
      </c>
      <c r="BD5">
        <v>1.4000000000000012E-2</v>
      </c>
    </row>
    <row r="6" spans="1:56">
      <c r="A6" t="s">
        <v>65</v>
      </c>
      <c r="B6" t="s">
        <v>66</v>
      </c>
      <c r="C6" s="1">
        <v>3.5000000000000003E-2</v>
      </c>
      <c r="D6">
        <v>2.5999999999999995E-2</v>
      </c>
      <c r="E6">
        <v>1.0000000000000009E-3</v>
      </c>
      <c r="F6">
        <v>3.4000000000000002E-2</v>
      </c>
      <c r="G6">
        <v>7.8000000000000014E-2</v>
      </c>
      <c r="H6">
        <v>7.6999999999999985E-2</v>
      </c>
      <c r="I6">
        <v>3.5000000000000003E-2</v>
      </c>
      <c r="J6">
        <v>9.0999999999999998E-2</v>
      </c>
      <c r="K6">
        <v>4.9999999999999989E-2</v>
      </c>
      <c r="L6">
        <v>2.5999999999999995E-2</v>
      </c>
      <c r="M6">
        <v>9.8999999999999977E-2</v>
      </c>
      <c r="N6">
        <v>0.03</v>
      </c>
      <c r="O6">
        <v>2.5999999999999995E-2</v>
      </c>
      <c r="P6">
        <v>9.5000000000000029E-2</v>
      </c>
      <c r="Q6">
        <v>2.7999999999999997E-2</v>
      </c>
      <c r="R6">
        <v>0.03</v>
      </c>
      <c r="S6">
        <v>7.5000000000000011E-2</v>
      </c>
      <c r="T6">
        <v>1.999999999999999E-2</v>
      </c>
      <c r="U6" s="3">
        <v>8.9999999999999941E-3</v>
      </c>
      <c r="V6" s="3">
        <v>1.9000000000000003E-2</v>
      </c>
      <c r="W6" s="3">
        <v>2.6000000000000009E-2</v>
      </c>
      <c r="X6" s="3">
        <v>8.1000000000000016E-2</v>
      </c>
      <c r="Y6" s="3">
        <v>7.5000000000000011E-2</v>
      </c>
      <c r="Z6" s="3">
        <v>8.4999999999999992E-2</v>
      </c>
      <c r="AA6" s="3">
        <v>8.7999999999999995E-2</v>
      </c>
      <c r="AB6" s="3">
        <v>7.3000000000000037E-2</v>
      </c>
      <c r="AC6" s="3">
        <v>9.7000000000000003E-2</v>
      </c>
      <c r="AD6" s="3">
        <v>7.9999999999999988E-2</v>
      </c>
      <c r="AE6" s="3">
        <v>7.600000000000004E-2</v>
      </c>
      <c r="AF6" s="3">
        <v>9.2999999999999999E-2</v>
      </c>
      <c r="AG6" s="3">
        <v>7.8999999999999987E-2</v>
      </c>
      <c r="AH6" s="3">
        <v>6.4000000000000029E-2</v>
      </c>
      <c r="AI6" s="3">
        <v>8.299999999999999E-2</v>
      </c>
      <c r="AJ6" s="3">
        <v>7.3999999999999982E-2</v>
      </c>
      <c r="AK6" s="3">
        <v>7.9000000000000015E-2</v>
      </c>
      <c r="AL6" s="3">
        <v>8.199999999999999E-2</v>
      </c>
      <c r="AM6" s="3">
        <v>5.0000000000000044E-3</v>
      </c>
      <c r="AN6" s="3">
        <v>1.9000000000000003E-2</v>
      </c>
      <c r="AO6" s="3">
        <v>-0.34399999999999997</v>
      </c>
      <c r="AP6" s="3">
        <v>6.3000000000000028E-2</v>
      </c>
      <c r="AQ6" s="3">
        <v>4.9000000000000016E-2</v>
      </c>
      <c r="AR6" s="3">
        <v>2.3999999999999994E-2</v>
      </c>
      <c r="AS6" s="3">
        <v>6.7000000000000032E-2</v>
      </c>
      <c r="AT6" s="3">
        <v>2.8999999999999998E-2</v>
      </c>
      <c r="AU6" s="3">
        <v>2.300000000000002E-2</v>
      </c>
      <c r="AV6">
        <v>5.9000000000000025E-2</v>
      </c>
      <c r="AW6">
        <v>2.1999999999999992E-2</v>
      </c>
      <c r="AX6">
        <v>1.5999999999999986E-2</v>
      </c>
      <c r="AY6">
        <v>5.2000000000000018E-2</v>
      </c>
      <c r="AZ6">
        <v>2.0000000000000018E-2</v>
      </c>
      <c r="BA6">
        <v>2.200000000000002E-2</v>
      </c>
      <c r="BB6">
        <v>4.4000000000000011E-2</v>
      </c>
      <c r="BC6">
        <v>1.6999999999999987E-2</v>
      </c>
      <c r="BD6">
        <v>2.200000000000002E-2</v>
      </c>
    </row>
    <row r="7" spans="1:56">
      <c r="A7" t="s">
        <v>67</v>
      </c>
      <c r="B7" t="s">
        <v>68</v>
      </c>
      <c r="C7" s="1">
        <v>7.0000000000000062E-3</v>
      </c>
      <c r="D7">
        <v>0</v>
      </c>
      <c r="E7">
        <v>-8.0000000000000071E-3</v>
      </c>
      <c r="F7">
        <v>0.78899999999999992</v>
      </c>
      <c r="G7">
        <v>0.85200000000000009</v>
      </c>
      <c r="H7">
        <v>0.83699999999999997</v>
      </c>
      <c r="I7">
        <v>0.98799999999999999</v>
      </c>
      <c r="J7">
        <v>1.075</v>
      </c>
      <c r="K7">
        <v>0.96700000000000008</v>
      </c>
      <c r="L7">
        <v>0.873</v>
      </c>
      <c r="M7">
        <v>0.90900000000000003</v>
      </c>
      <c r="N7">
        <v>0.874</v>
      </c>
      <c r="O7">
        <v>0.7649999999999999</v>
      </c>
      <c r="P7">
        <v>0.75</v>
      </c>
      <c r="Q7">
        <v>0.70600000000000007</v>
      </c>
      <c r="R7">
        <v>0.71699999999999997</v>
      </c>
      <c r="S7">
        <v>0.70100000000000007</v>
      </c>
      <c r="T7">
        <v>0.69300000000000006</v>
      </c>
      <c r="U7" s="3">
        <v>-1.0000000000000009E-3</v>
      </c>
      <c r="V7" s="3">
        <v>4.0000000000000036E-3</v>
      </c>
      <c r="W7" s="3">
        <v>1.4999999999999999E-2</v>
      </c>
      <c r="X7" s="3">
        <v>0.60499999999999998</v>
      </c>
      <c r="Y7" s="3">
        <v>0.62999999999999989</v>
      </c>
      <c r="Z7" s="3">
        <v>0.60600000000000009</v>
      </c>
      <c r="AA7" s="3">
        <v>0.85300000000000009</v>
      </c>
      <c r="AB7" s="3">
        <v>0.88700000000000001</v>
      </c>
      <c r="AC7" s="3">
        <v>0.84699999999999998</v>
      </c>
      <c r="AD7" s="3">
        <v>0.90700000000000014</v>
      </c>
      <c r="AE7" s="3">
        <v>1.0129999999999999</v>
      </c>
      <c r="AF7" s="3">
        <v>0.92199999999999993</v>
      </c>
      <c r="AG7" s="3">
        <v>0.93899999999999995</v>
      </c>
      <c r="AH7" s="3">
        <v>1.008</v>
      </c>
      <c r="AI7" s="3">
        <v>0.8670000000000001</v>
      </c>
      <c r="AJ7" s="3">
        <v>0.92699999999999994</v>
      </c>
      <c r="AK7" s="3">
        <v>0.95500000000000007</v>
      </c>
      <c r="AL7" s="3">
        <v>0.88000000000000012</v>
      </c>
      <c r="AM7" s="3">
        <v>-5.2000000000000005E-2</v>
      </c>
      <c r="AN7" s="3">
        <v>1.0000000000000009E-3</v>
      </c>
      <c r="AO7" s="3">
        <v>-0.371</v>
      </c>
      <c r="AP7" s="3">
        <v>0.66</v>
      </c>
      <c r="AQ7" s="3">
        <v>0.64399999999999991</v>
      </c>
      <c r="AR7" s="3">
        <v>0.64999999999999991</v>
      </c>
      <c r="AS7" s="3">
        <v>0.90700000000000003</v>
      </c>
      <c r="AT7" s="3">
        <v>0.89500000000000002</v>
      </c>
      <c r="AU7" s="3">
        <v>0.9900000000000001</v>
      </c>
      <c r="AV7">
        <v>0.82500000000000007</v>
      </c>
      <c r="AW7">
        <v>0.97499999999999987</v>
      </c>
      <c r="AX7">
        <v>0.94300000000000006</v>
      </c>
      <c r="AY7">
        <v>0.91500000000000004</v>
      </c>
      <c r="AZ7">
        <v>0.9830000000000001</v>
      </c>
      <c r="BA7">
        <v>0.97900000000000009</v>
      </c>
      <c r="BB7">
        <v>0.91900000000000004</v>
      </c>
      <c r="BC7">
        <v>0.90999999999999992</v>
      </c>
      <c r="BD7">
        <v>0.997</v>
      </c>
    </row>
    <row r="8" spans="1:56">
      <c r="A8" t="s">
        <v>69</v>
      </c>
      <c r="B8" t="s">
        <v>70</v>
      </c>
      <c r="C8" s="1">
        <v>2.0999999999999991E-2</v>
      </c>
      <c r="D8">
        <v>3.6000000000000004E-2</v>
      </c>
      <c r="E8">
        <v>-4.0000000000000036E-3</v>
      </c>
      <c r="F8">
        <v>8.2000000000000017E-2</v>
      </c>
      <c r="G8">
        <v>0.13400000000000001</v>
      </c>
      <c r="H8">
        <v>0.14199999999999999</v>
      </c>
      <c r="I8">
        <v>6.3E-2</v>
      </c>
      <c r="J8">
        <v>0.12499999999999997</v>
      </c>
      <c r="K8">
        <v>0.10699999999999998</v>
      </c>
      <c r="L8">
        <v>8.6000000000000021E-2</v>
      </c>
      <c r="M8">
        <v>0.12</v>
      </c>
      <c r="N8">
        <v>6.6999999999999976E-2</v>
      </c>
      <c r="O8">
        <v>0.10599999999999998</v>
      </c>
      <c r="P8">
        <v>0.125</v>
      </c>
      <c r="Q8">
        <v>6.500000000000003E-2</v>
      </c>
      <c r="R8">
        <v>0.11999999999999997</v>
      </c>
      <c r="S8">
        <v>0.13600000000000001</v>
      </c>
      <c r="T8">
        <v>9.3999999999999972E-2</v>
      </c>
      <c r="U8" s="3">
        <v>3.0999999999999986E-2</v>
      </c>
      <c r="V8" s="3">
        <v>4.8000000000000001E-2</v>
      </c>
      <c r="W8" s="3">
        <v>2.8999999999999984E-2</v>
      </c>
      <c r="X8" s="3">
        <v>0.14300000000000002</v>
      </c>
      <c r="Y8" s="3">
        <v>0.18099999999999999</v>
      </c>
      <c r="Z8" s="3">
        <v>0.18700000000000003</v>
      </c>
      <c r="AA8" s="3">
        <v>0.157</v>
      </c>
      <c r="AB8" s="3">
        <v>0.18000000000000002</v>
      </c>
      <c r="AC8" s="3">
        <v>0.19000000000000003</v>
      </c>
      <c r="AD8" s="3">
        <v>0.14499999999999999</v>
      </c>
      <c r="AE8" s="3">
        <v>0.18700000000000003</v>
      </c>
      <c r="AF8" s="3">
        <v>0.19600000000000004</v>
      </c>
      <c r="AG8" s="3">
        <v>0.14199999999999999</v>
      </c>
      <c r="AH8" s="3">
        <v>0.17600000000000002</v>
      </c>
      <c r="AI8" s="3">
        <v>0.17100000000000001</v>
      </c>
      <c r="AJ8" s="3">
        <v>0.14699999999999999</v>
      </c>
      <c r="AK8" s="3">
        <v>0.18099999999999999</v>
      </c>
      <c r="AL8" s="3">
        <v>0.18000000000000002</v>
      </c>
      <c r="AM8" s="3">
        <v>-2.6999999999999996E-2</v>
      </c>
      <c r="AN8" s="3">
        <v>2.2000000000000006E-2</v>
      </c>
      <c r="AO8" s="3">
        <v>-0.35599999999999998</v>
      </c>
      <c r="AP8" s="3">
        <v>6.0000000000000026E-2</v>
      </c>
      <c r="AQ8" s="3">
        <v>8.3000000000000018E-2</v>
      </c>
      <c r="AR8" s="3">
        <v>0.11699999999999999</v>
      </c>
      <c r="AS8" s="3">
        <v>7.2999999999999982E-2</v>
      </c>
      <c r="AT8" s="3">
        <v>9.2999999999999972E-2</v>
      </c>
      <c r="AU8" s="3">
        <v>0.11800000000000002</v>
      </c>
      <c r="AV8">
        <v>6.6999999999999976E-2</v>
      </c>
      <c r="AW8">
        <v>8.3999999999999964E-2</v>
      </c>
      <c r="AX8">
        <v>0.11799999999999999</v>
      </c>
      <c r="AY8">
        <v>8.299999999999999E-2</v>
      </c>
      <c r="AZ8">
        <v>8.6999999999999994E-2</v>
      </c>
      <c r="BA8">
        <v>0.12300000000000003</v>
      </c>
      <c r="BB8">
        <v>9.0999999999999998E-2</v>
      </c>
      <c r="BC8">
        <v>8.6999999999999966E-2</v>
      </c>
      <c r="BD8">
        <v>0.12800000000000003</v>
      </c>
    </row>
    <row r="9" spans="1:56">
      <c r="A9" t="s">
        <v>71</v>
      </c>
      <c r="B9" t="s">
        <v>72</v>
      </c>
      <c r="C9" s="1">
        <v>-2.0000000000000018E-3</v>
      </c>
      <c r="D9">
        <v>9.000000000000008E-3</v>
      </c>
      <c r="E9">
        <v>-1.2000000000000011E-2</v>
      </c>
      <c r="F9">
        <v>8.0000000000000071E-3</v>
      </c>
      <c r="G9">
        <v>5.0000000000000017E-2</v>
      </c>
      <c r="H9">
        <v>5.7999999999999996E-2</v>
      </c>
      <c r="I9">
        <v>4.1999999999999982E-2</v>
      </c>
      <c r="J9">
        <v>7.2999999999999982E-2</v>
      </c>
      <c r="K9">
        <v>4.0999999999999981E-2</v>
      </c>
      <c r="L9">
        <v>6.6000000000000003E-2</v>
      </c>
      <c r="M9">
        <v>5.6999999999999995E-2</v>
      </c>
      <c r="N9">
        <v>-3.7000000000000005E-2</v>
      </c>
      <c r="O9">
        <v>5.6999999999999995E-2</v>
      </c>
      <c r="P9">
        <v>5.3000000000000019E-2</v>
      </c>
      <c r="Q9">
        <v>-3.8000000000000006E-2</v>
      </c>
      <c r="R9">
        <v>4.7999999999999987E-2</v>
      </c>
      <c r="S9">
        <v>2.7000000000000024E-2</v>
      </c>
      <c r="T9">
        <v>-2.0000000000000018E-2</v>
      </c>
      <c r="U9" s="3">
        <v>5.0000000000000044E-3</v>
      </c>
      <c r="V9" s="3">
        <v>9.999999999999995E-3</v>
      </c>
      <c r="W9" s="3">
        <v>1.6E-2</v>
      </c>
      <c r="X9" s="3">
        <v>4.1999999999999982E-2</v>
      </c>
      <c r="Y9" s="3">
        <v>0.03</v>
      </c>
      <c r="Z9" s="3">
        <v>3.1E-2</v>
      </c>
      <c r="AA9" s="3">
        <v>4.4000000000000011E-2</v>
      </c>
      <c r="AB9" s="3">
        <v>3.9000000000000007E-2</v>
      </c>
      <c r="AC9" s="3">
        <v>4.0000000000000008E-2</v>
      </c>
      <c r="AD9" s="3">
        <v>2.5999999999999995E-2</v>
      </c>
      <c r="AE9" s="3">
        <v>2.5000000000000022E-2</v>
      </c>
      <c r="AF9" s="3">
        <v>4.0000000000000008E-2</v>
      </c>
      <c r="AG9" s="3">
        <v>2.6999999999999996E-2</v>
      </c>
      <c r="AH9" s="3">
        <v>1.6000000000000014E-2</v>
      </c>
      <c r="AI9" s="3">
        <v>2.6999999999999996E-2</v>
      </c>
      <c r="AJ9" s="3">
        <v>3.1E-2</v>
      </c>
      <c r="AK9" s="3">
        <v>2.7999999999999997E-2</v>
      </c>
      <c r="AL9" s="3">
        <v>3.6000000000000004E-2</v>
      </c>
      <c r="AM9" s="3">
        <v>-3.3000000000000002E-2</v>
      </c>
      <c r="AN9" s="3">
        <v>8.0000000000000071E-3</v>
      </c>
      <c r="AO9" s="3">
        <v>-0.35399999999999998</v>
      </c>
      <c r="AP9" s="3">
        <v>5.0000000000000044E-3</v>
      </c>
      <c r="AQ9" s="3">
        <v>3.4000000000000002E-2</v>
      </c>
      <c r="AR9" s="3">
        <v>3.7000000000000005E-2</v>
      </c>
      <c r="AS9" s="3">
        <v>7.0000000000000062E-3</v>
      </c>
      <c r="AT9" s="3">
        <v>1.8999999999999989E-2</v>
      </c>
      <c r="AU9" s="3">
        <v>2.7000000000000024E-2</v>
      </c>
      <c r="AV9">
        <v>3.0000000000000027E-3</v>
      </c>
      <c r="AW9">
        <v>9.9999999999999811E-3</v>
      </c>
      <c r="AX9">
        <v>2.3999999999999994E-2</v>
      </c>
      <c r="AY9">
        <v>-1.0000000000000009E-3</v>
      </c>
      <c r="AZ9">
        <v>1.9000000000000017E-2</v>
      </c>
      <c r="BA9">
        <v>2.6000000000000023E-2</v>
      </c>
      <c r="BB9">
        <v>1.0000000000000009E-3</v>
      </c>
      <c r="BC9">
        <v>2.0999999999999991E-2</v>
      </c>
      <c r="BD9">
        <v>3.2000000000000001E-2</v>
      </c>
    </row>
    <row r="10" spans="1:56">
      <c r="A10" t="s">
        <v>73</v>
      </c>
      <c r="B10" t="s">
        <v>74</v>
      </c>
      <c r="C10" s="1">
        <v>-2.2000000000000006E-2</v>
      </c>
      <c r="D10">
        <v>-1.0999999999999996E-2</v>
      </c>
      <c r="E10">
        <v>-3.1000000000000014E-2</v>
      </c>
      <c r="F10">
        <v>0.76400000000000001</v>
      </c>
      <c r="G10">
        <v>0.80400000000000005</v>
      </c>
      <c r="H10">
        <v>0.747</v>
      </c>
      <c r="I10">
        <v>1.038</v>
      </c>
      <c r="J10">
        <v>1.0609999999999999</v>
      </c>
      <c r="K10">
        <v>0.97300000000000009</v>
      </c>
      <c r="L10">
        <v>1.3260000000000001</v>
      </c>
      <c r="M10">
        <v>1.4160000000000001</v>
      </c>
      <c r="N10">
        <v>1.2269999999999999</v>
      </c>
      <c r="O10">
        <v>1.4970000000000001</v>
      </c>
      <c r="P10">
        <v>1.629</v>
      </c>
      <c r="Q10">
        <v>1.514</v>
      </c>
      <c r="R10">
        <v>1.5820000000000001</v>
      </c>
      <c r="S10">
        <v>1.74</v>
      </c>
      <c r="T10">
        <v>1.611</v>
      </c>
      <c r="U10" s="3">
        <v>-5.0000000000000044E-3</v>
      </c>
      <c r="V10" s="3">
        <v>-3.0000000000000027E-3</v>
      </c>
      <c r="W10" s="3">
        <v>-7.0000000000000062E-3</v>
      </c>
      <c r="X10" s="3">
        <v>0.88300000000000001</v>
      </c>
      <c r="Y10" s="3">
        <v>0.96900000000000008</v>
      </c>
      <c r="Z10" s="3">
        <v>0.92500000000000004</v>
      </c>
      <c r="AA10" s="3">
        <v>1.395</v>
      </c>
      <c r="AB10" s="3">
        <v>1.4339999999999999</v>
      </c>
      <c r="AC10" s="3">
        <v>1.3860000000000001</v>
      </c>
      <c r="AD10" s="3">
        <v>1.476</v>
      </c>
      <c r="AE10" s="3">
        <v>1.496</v>
      </c>
      <c r="AF10" s="3">
        <v>1.46</v>
      </c>
      <c r="AG10" s="3">
        <v>1.5229999999999999</v>
      </c>
      <c r="AH10" s="3">
        <v>1.534</v>
      </c>
      <c r="AI10" s="3">
        <v>1.4769999999999999</v>
      </c>
      <c r="AJ10" s="3">
        <v>1.5649999999999999</v>
      </c>
      <c r="AK10" s="3">
        <v>1.5669999999999999</v>
      </c>
      <c r="AL10" s="3">
        <v>1.498</v>
      </c>
      <c r="AM10" s="3">
        <v>-0.05</v>
      </c>
      <c r="AN10" s="3">
        <v>1.0000000000000009E-3</v>
      </c>
      <c r="AO10" s="3">
        <v>-0.38500000000000001</v>
      </c>
      <c r="AP10" s="3">
        <v>0.80900000000000005</v>
      </c>
      <c r="AQ10" s="3">
        <v>0.82000000000000006</v>
      </c>
      <c r="AR10" s="3">
        <v>0.77800000000000002</v>
      </c>
      <c r="AS10" s="3">
        <v>1.3420000000000001</v>
      </c>
      <c r="AT10" s="3">
        <v>1.367</v>
      </c>
      <c r="AU10" s="3">
        <v>1.3029999999999999</v>
      </c>
      <c r="AV10">
        <v>1.46</v>
      </c>
      <c r="AW10">
        <v>1.4649999999999999</v>
      </c>
      <c r="AX10">
        <v>1.4490000000000001</v>
      </c>
      <c r="AY10">
        <v>1.4830000000000001</v>
      </c>
      <c r="AZ10">
        <v>1.4830000000000001</v>
      </c>
      <c r="BA10">
        <v>1.4890000000000001</v>
      </c>
      <c r="BB10">
        <v>1.536</v>
      </c>
      <c r="BC10">
        <v>1.5349999999999999</v>
      </c>
      <c r="BD10">
        <v>1.5609999999999999</v>
      </c>
    </row>
    <row r="11" spans="1:56">
      <c r="A11" t="s">
        <v>75</v>
      </c>
      <c r="B11" t="s">
        <v>76</v>
      </c>
      <c r="C11" s="1">
        <v>-2.2999999999999993E-2</v>
      </c>
      <c r="D11">
        <v>-1.3999999999999999E-2</v>
      </c>
      <c r="E11">
        <v>-3.3000000000000002E-2</v>
      </c>
      <c r="F11">
        <v>-2.8999999999999998E-2</v>
      </c>
      <c r="G11">
        <v>-1.8999999999999989E-2</v>
      </c>
      <c r="H11">
        <v>-2.8999999999999998E-2</v>
      </c>
      <c r="I11">
        <v>0.10200000000000001</v>
      </c>
      <c r="J11">
        <v>0.12799999999999997</v>
      </c>
      <c r="K11">
        <v>4.0000000000000036E-3</v>
      </c>
      <c r="L11">
        <v>0.27800000000000002</v>
      </c>
      <c r="M11">
        <v>0.45800000000000002</v>
      </c>
      <c r="N11">
        <v>0.11400000000000002</v>
      </c>
      <c r="O11">
        <v>0.67599999999999993</v>
      </c>
      <c r="P11">
        <v>0.81299999999999994</v>
      </c>
      <c r="Q11">
        <v>0.57700000000000007</v>
      </c>
      <c r="R11">
        <v>0.95800000000000007</v>
      </c>
      <c r="S11">
        <v>0.99199999999999999</v>
      </c>
      <c r="T11">
        <v>0.8919999999999999</v>
      </c>
      <c r="U11" s="3">
        <v>-6.0000000000000053E-3</v>
      </c>
      <c r="V11" s="3">
        <v>-3.0000000000000027E-3</v>
      </c>
      <c r="W11" s="3">
        <v>-8.0000000000000071E-3</v>
      </c>
      <c r="X11" s="3">
        <v>-2.1000000000000019E-2</v>
      </c>
      <c r="Y11" s="3">
        <v>-1.0000000000000009E-3</v>
      </c>
      <c r="Z11" s="3">
        <v>-2.2999999999999993E-2</v>
      </c>
      <c r="AA11" s="3">
        <v>3.0000000000000027E-3</v>
      </c>
      <c r="AB11" s="3">
        <v>2.0000000000000018E-2</v>
      </c>
      <c r="AC11" s="3">
        <v>-9.000000000000008E-3</v>
      </c>
      <c r="AD11" s="3">
        <v>-7.0000000000000062E-3</v>
      </c>
      <c r="AE11" s="3">
        <v>0.24000000000000002</v>
      </c>
      <c r="AF11" s="3">
        <v>-1.2999999999999984E-2</v>
      </c>
      <c r="AG11" s="3">
        <v>9.000000000000008E-3</v>
      </c>
      <c r="AH11" s="3">
        <v>0.71800000000000008</v>
      </c>
      <c r="AI11" s="3">
        <v>-1.6000000000000014E-2</v>
      </c>
      <c r="AJ11" s="3">
        <v>3.4000000000000002E-2</v>
      </c>
      <c r="AK11" s="3">
        <v>1.0450000000000002</v>
      </c>
      <c r="AL11" s="3">
        <v>0.36499999999999999</v>
      </c>
      <c r="AM11" s="3">
        <v>-5.3000000000000005E-2</v>
      </c>
      <c r="AN11" s="3">
        <v>1.100000000000001E-2</v>
      </c>
      <c r="AO11" s="3">
        <v>-0.38100000000000001</v>
      </c>
      <c r="AP11" s="3">
        <v>-4.1000000000000009E-2</v>
      </c>
      <c r="AQ11" s="3">
        <v>-4.0000000000000036E-3</v>
      </c>
      <c r="AR11" s="3">
        <v>-5.2999999999999992E-2</v>
      </c>
      <c r="AS11" s="3">
        <v>-1.0000000000000009E-3</v>
      </c>
      <c r="AT11" s="3">
        <v>2.0000000000000018E-3</v>
      </c>
      <c r="AU11" s="3">
        <v>-5.2999999999999992E-2</v>
      </c>
      <c r="AV11">
        <v>0.11500000000000002</v>
      </c>
      <c r="AW11">
        <v>4.0000000000000036E-3</v>
      </c>
      <c r="AX11">
        <v>-4.9000000000000016E-2</v>
      </c>
      <c r="AY11">
        <v>0.625</v>
      </c>
      <c r="AZ11">
        <v>7.8999999999999987E-2</v>
      </c>
      <c r="BA11">
        <v>-5.8999999999999997E-2</v>
      </c>
      <c r="BB11">
        <v>0.92300000000000004</v>
      </c>
      <c r="BC11">
        <v>0.64799999999999991</v>
      </c>
      <c r="BD11">
        <v>-4.9999999999999989E-2</v>
      </c>
    </row>
    <row r="12" spans="1:56">
      <c r="A12" t="s">
        <v>77</v>
      </c>
      <c r="B12" t="s">
        <v>78</v>
      </c>
      <c r="C12" s="1">
        <v>-2.1000000000000005E-2</v>
      </c>
      <c r="D12">
        <v>1.7000000000000015E-2</v>
      </c>
      <c r="E12">
        <v>-1.0000000000000009E-2</v>
      </c>
      <c r="F12">
        <v>-1.2999999999999984E-2</v>
      </c>
      <c r="G12">
        <v>3.5000000000000003E-2</v>
      </c>
      <c r="H12">
        <v>3.6999999999999977E-2</v>
      </c>
      <c r="I12">
        <v>-1.4000000000000012E-2</v>
      </c>
      <c r="J12">
        <v>4.3999999999999984E-2</v>
      </c>
      <c r="K12">
        <v>0.03</v>
      </c>
      <c r="L12">
        <v>-1.7000000000000015E-2</v>
      </c>
      <c r="M12">
        <v>3.7000000000000005E-2</v>
      </c>
      <c r="N12">
        <v>-1.2000000000000011E-2</v>
      </c>
      <c r="O12">
        <v>-1.0000000000000009E-2</v>
      </c>
      <c r="P12">
        <v>2.7000000000000024E-2</v>
      </c>
      <c r="Q12">
        <v>-3.3000000000000002E-2</v>
      </c>
      <c r="R12">
        <v>-2.0000000000000018E-3</v>
      </c>
      <c r="S12">
        <v>1.2000000000000011E-2</v>
      </c>
      <c r="T12">
        <v>-2.7000000000000024E-2</v>
      </c>
      <c r="U12" s="3">
        <v>2.0000000000000018E-3</v>
      </c>
      <c r="V12" s="3">
        <v>0</v>
      </c>
      <c r="W12" s="3">
        <v>2.8000000000000011E-2</v>
      </c>
      <c r="X12" s="3">
        <v>2.4999999999999994E-2</v>
      </c>
      <c r="Y12" s="3">
        <v>7.9999999999999793E-3</v>
      </c>
      <c r="Z12" s="3">
        <v>2.7000000000000024E-2</v>
      </c>
      <c r="AA12" s="3">
        <v>2.1000000000000019E-2</v>
      </c>
      <c r="AB12" s="3">
        <v>4.0000000000000036E-3</v>
      </c>
      <c r="AC12" s="3">
        <v>2.3999999999999994E-2</v>
      </c>
      <c r="AD12" s="3">
        <v>2.0999999999999991E-2</v>
      </c>
      <c r="AE12" s="3">
        <v>7.0000000000000062E-3</v>
      </c>
      <c r="AF12" s="3">
        <v>0.03</v>
      </c>
      <c r="AG12" s="3">
        <v>1.7999999999999988E-2</v>
      </c>
      <c r="AH12" s="3">
        <v>4.0000000000000036E-3</v>
      </c>
      <c r="AI12" s="3">
        <v>2.4999999999999994E-2</v>
      </c>
      <c r="AJ12" s="3">
        <v>1.5999999999999986E-2</v>
      </c>
      <c r="AK12" s="3">
        <v>1.7999999999999988E-2</v>
      </c>
      <c r="AL12" s="3">
        <v>2.8999999999999998E-2</v>
      </c>
      <c r="AM12" s="3">
        <v>-3.1E-2</v>
      </c>
      <c r="AN12" s="3">
        <v>9.000000000000008E-3</v>
      </c>
      <c r="AO12" s="3">
        <v>-0.36899999999999999</v>
      </c>
      <c r="AP12" s="3">
        <v>-5.0000000000000044E-3</v>
      </c>
      <c r="AQ12" s="3">
        <v>1.100000000000001E-2</v>
      </c>
      <c r="AR12" s="3">
        <v>2.1999999999999992E-2</v>
      </c>
      <c r="AS12" s="3">
        <v>9.000000000000008E-3</v>
      </c>
      <c r="AT12" s="3">
        <v>5.0000000000000044E-3</v>
      </c>
      <c r="AU12" s="3">
        <v>4.0000000000000036E-3</v>
      </c>
      <c r="AV12">
        <v>1.0000000000000009E-3</v>
      </c>
      <c r="AW12">
        <v>4.0000000000000036E-3</v>
      </c>
      <c r="AX12">
        <v>5.9999999999999776E-3</v>
      </c>
      <c r="AY12">
        <v>-2.0000000000000018E-3</v>
      </c>
      <c r="AZ12">
        <v>-5.9999999999999776E-3</v>
      </c>
      <c r="BA12">
        <v>1.3000000000000012E-2</v>
      </c>
      <c r="BB12">
        <v>6.0000000000000053E-3</v>
      </c>
      <c r="BC12">
        <v>-8.0000000000000071E-3</v>
      </c>
      <c r="BD12">
        <v>6.0000000000000053E-3</v>
      </c>
    </row>
    <row r="13" spans="1:56">
      <c r="A13" t="s">
        <v>79</v>
      </c>
      <c r="B13" t="s">
        <v>80</v>
      </c>
      <c r="C13" s="1">
        <v>-7.9999999999999932E-3</v>
      </c>
      <c r="D13">
        <v>4.6000000000000013E-2</v>
      </c>
      <c r="E13">
        <v>0.03</v>
      </c>
      <c r="F13">
        <v>9.000000000000008E-3</v>
      </c>
      <c r="G13">
        <v>2.300000000000002E-2</v>
      </c>
      <c r="H13">
        <v>1.999999999999999E-2</v>
      </c>
      <c r="I13">
        <v>3.5000000000000003E-2</v>
      </c>
      <c r="J13">
        <v>1.4999999999999986E-2</v>
      </c>
      <c r="K13">
        <v>2.5999999999999995E-2</v>
      </c>
      <c r="L13">
        <v>2.7999999999999997E-2</v>
      </c>
      <c r="M13">
        <v>2.8999999999999998E-2</v>
      </c>
      <c r="N13">
        <v>-5.1000000000000018E-2</v>
      </c>
      <c r="O13">
        <v>-0.03</v>
      </c>
      <c r="P13">
        <v>3.7000000000000005E-2</v>
      </c>
      <c r="Q13">
        <v>-3.8000000000000006E-2</v>
      </c>
      <c r="R13">
        <v>1.8999999999999989E-2</v>
      </c>
      <c r="S13">
        <v>3.4000000000000002E-2</v>
      </c>
      <c r="T13">
        <v>-2.7000000000000024E-2</v>
      </c>
      <c r="U13" s="3">
        <v>2.700000000000001E-2</v>
      </c>
      <c r="V13" s="3">
        <v>3.599999999999999E-2</v>
      </c>
      <c r="W13" s="3">
        <v>0.126</v>
      </c>
      <c r="X13" s="3">
        <v>1.2999999999999984E-2</v>
      </c>
      <c r="Y13" s="3">
        <v>1.0000000000000009E-3</v>
      </c>
      <c r="Z13" s="3">
        <v>4.9000000000000016E-2</v>
      </c>
      <c r="AA13" s="3">
        <v>1.5000000000000013E-2</v>
      </c>
      <c r="AB13" s="3">
        <v>9.000000000000008E-3</v>
      </c>
      <c r="AC13" s="3">
        <v>1.0000000000000009E-2</v>
      </c>
      <c r="AD13" s="3">
        <v>1.0000000000000009E-2</v>
      </c>
      <c r="AE13" s="3">
        <v>9.000000000000008E-3</v>
      </c>
      <c r="AF13" s="3">
        <v>0.03</v>
      </c>
      <c r="AG13" s="3">
        <v>1.0000000000000009E-3</v>
      </c>
      <c r="AH13" s="3">
        <v>-7.0000000000000062E-3</v>
      </c>
      <c r="AI13" s="3">
        <v>2.0000000000000018E-3</v>
      </c>
      <c r="AJ13" s="3">
        <v>-2.0000000000000018E-3</v>
      </c>
      <c r="AK13" s="3">
        <v>5.9999999999999776E-3</v>
      </c>
      <c r="AL13" s="3">
        <v>4.0000000000000036E-3</v>
      </c>
      <c r="AM13" s="3">
        <v>-3.2000000000000001E-2</v>
      </c>
      <c r="AN13" s="3">
        <v>4.4999999999999998E-2</v>
      </c>
      <c r="AO13" s="3">
        <v>-0.28200000000000003</v>
      </c>
      <c r="AP13" s="3">
        <v>-7.0000000000000062E-3</v>
      </c>
      <c r="AQ13" s="3">
        <v>2.8999999999999998E-2</v>
      </c>
      <c r="AR13" s="3">
        <v>6.6000000000000003E-2</v>
      </c>
      <c r="AS13" s="3">
        <v>3.0000000000000027E-3</v>
      </c>
      <c r="AT13" s="3">
        <v>1.3999999999999985E-2</v>
      </c>
      <c r="AU13" s="3">
        <v>9.000000000000008E-3</v>
      </c>
      <c r="AV13">
        <v>0</v>
      </c>
      <c r="AW13">
        <v>6.9999999999999785E-3</v>
      </c>
      <c r="AX13">
        <v>2.0999999999999991E-2</v>
      </c>
      <c r="AY13">
        <v>-1.2000000000000011E-2</v>
      </c>
      <c r="AZ13">
        <v>0</v>
      </c>
      <c r="BA13">
        <v>1.0000000000000009E-2</v>
      </c>
      <c r="BB13">
        <v>-1.2000000000000011E-2</v>
      </c>
      <c r="BC13">
        <v>-3.0000000000000027E-3</v>
      </c>
      <c r="BD13">
        <v>2.5000000000000022E-2</v>
      </c>
    </row>
    <row r="14" spans="1:56">
      <c r="A14" t="s">
        <v>81</v>
      </c>
      <c r="B14" t="s">
        <v>82</v>
      </c>
      <c r="C14" s="1">
        <v>-7.9999999999999932E-3</v>
      </c>
      <c r="D14">
        <v>2.0000000000000018E-2</v>
      </c>
      <c r="E14">
        <v>-4.0000000000000036E-3</v>
      </c>
      <c r="F14">
        <v>-1.6999999999999987E-2</v>
      </c>
      <c r="G14">
        <v>8.4000000000000019E-2</v>
      </c>
      <c r="H14">
        <v>8.4999999999999992E-2</v>
      </c>
      <c r="I14">
        <v>-2.5000000000000022E-2</v>
      </c>
      <c r="J14">
        <v>0.11099999999999996</v>
      </c>
      <c r="K14">
        <v>3.7000000000000005E-2</v>
      </c>
      <c r="L14">
        <v>-4.0000000000000008E-2</v>
      </c>
      <c r="M14">
        <v>0.12</v>
      </c>
      <c r="N14">
        <v>-2.4999999999999994E-2</v>
      </c>
      <c r="O14">
        <v>3.6000000000000004E-2</v>
      </c>
      <c r="P14">
        <v>0.10600000000000004</v>
      </c>
      <c r="Q14">
        <v>1.0000000000000009E-3</v>
      </c>
      <c r="R14">
        <v>-1.3000000000000012E-2</v>
      </c>
      <c r="S14">
        <v>9.7000000000000031E-2</v>
      </c>
      <c r="T14">
        <v>9.9999999999997313E-4</v>
      </c>
      <c r="U14" s="3">
        <v>7.9999999999999932E-3</v>
      </c>
      <c r="V14" s="3">
        <v>2.0000000000000004E-2</v>
      </c>
      <c r="W14" s="3">
        <v>7.1999999999999995E-2</v>
      </c>
      <c r="X14" s="3">
        <v>9.2999999999999972E-2</v>
      </c>
      <c r="Y14" s="3">
        <v>3.2000000000000001E-2</v>
      </c>
      <c r="Z14" s="3">
        <v>9.4E-2</v>
      </c>
      <c r="AA14" s="3">
        <v>8.7999999999999995E-2</v>
      </c>
      <c r="AB14" s="3">
        <v>4.5000000000000012E-2</v>
      </c>
      <c r="AC14" s="3">
        <v>5.0000000000000017E-2</v>
      </c>
      <c r="AD14" s="3">
        <v>7.8999999999999987E-2</v>
      </c>
      <c r="AE14" s="3">
        <v>4.300000000000001E-2</v>
      </c>
      <c r="AF14" s="3">
        <v>7.7999999999999986E-2</v>
      </c>
      <c r="AG14" s="3">
        <v>7.3999999999999982E-2</v>
      </c>
      <c r="AH14" s="3">
        <v>2.6999999999999996E-2</v>
      </c>
      <c r="AI14" s="3">
        <v>4.8000000000000015E-2</v>
      </c>
      <c r="AJ14" s="3">
        <v>7.2999999999999982E-2</v>
      </c>
      <c r="AK14" s="3">
        <v>4.0999999999999981E-2</v>
      </c>
      <c r="AL14" s="3">
        <v>6.6999999999999976E-2</v>
      </c>
      <c r="AM14" s="3">
        <v>-4.2999999999999997E-2</v>
      </c>
      <c r="AN14" s="3">
        <v>7.0000000000000062E-3</v>
      </c>
      <c r="AO14" s="3">
        <v>-0.29799999999999999</v>
      </c>
      <c r="AP14" s="3">
        <v>1.4000000000000012E-2</v>
      </c>
      <c r="AQ14" s="3">
        <v>3.4000000000000002E-2</v>
      </c>
      <c r="AR14" s="3">
        <v>9.7999999999999976E-2</v>
      </c>
      <c r="AS14" s="3">
        <v>2.4000000000000021E-2</v>
      </c>
      <c r="AT14" s="3">
        <v>1.7999999999999988E-2</v>
      </c>
      <c r="AU14" s="3">
        <v>4.1000000000000009E-2</v>
      </c>
      <c r="AV14">
        <v>1.2000000000000011E-2</v>
      </c>
      <c r="AW14">
        <v>1.5999999999999986E-2</v>
      </c>
      <c r="AX14">
        <v>5.4999999999999993E-2</v>
      </c>
      <c r="AY14">
        <v>3.0000000000000027E-3</v>
      </c>
      <c r="AZ14">
        <v>6.0000000000000053E-3</v>
      </c>
      <c r="BA14">
        <v>3.9000000000000007E-2</v>
      </c>
      <c r="BB14">
        <v>3.0000000000000027E-3</v>
      </c>
      <c r="BC14">
        <v>-2.0000000000000018E-3</v>
      </c>
      <c r="BD14">
        <v>6.2000000000000027E-2</v>
      </c>
    </row>
    <row r="15" spans="1:56">
      <c r="A15" t="s">
        <v>83</v>
      </c>
      <c r="B15" t="s">
        <v>84</v>
      </c>
      <c r="C15" s="1">
        <v>2.0000000000000018E-3</v>
      </c>
      <c r="D15">
        <v>2.2999999999999993E-2</v>
      </c>
      <c r="E15">
        <v>6.0000000000000053E-3</v>
      </c>
      <c r="F15">
        <v>0.57699999999999996</v>
      </c>
      <c r="G15">
        <v>0.71900000000000008</v>
      </c>
      <c r="H15">
        <v>0.71399999999999997</v>
      </c>
      <c r="I15">
        <v>0.79899999999999993</v>
      </c>
      <c r="J15">
        <v>0.77899999999999991</v>
      </c>
      <c r="K15">
        <v>0.77400000000000002</v>
      </c>
      <c r="L15">
        <v>0.74899999999999989</v>
      </c>
      <c r="M15">
        <v>0.69500000000000006</v>
      </c>
      <c r="N15">
        <v>0.621</v>
      </c>
      <c r="O15">
        <v>0.68599999999999994</v>
      </c>
      <c r="P15">
        <v>0.68199999999999994</v>
      </c>
      <c r="Q15">
        <v>0.58300000000000007</v>
      </c>
      <c r="R15">
        <v>0.68799999999999994</v>
      </c>
      <c r="S15">
        <v>0.66199999999999992</v>
      </c>
      <c r="T15">
        <v>0.57600000000000007</v>
      </c>
      <c r="U15" s="3">
        <v>5.6000000000000008E-2</v>
      </c>
      <c r="V15" s="3">
        <v>5.9000000000000011E-2</v>
      </c>
      <c r="W15" s="3">
        <v>0.106</v>
      </c>
      <c r="X15" s="3">
        <v>0.51200000000000001</v>
      </c>
      <c r="Y15" s="3">
        <v>0.59800000000000009</v>
      </c>
      <c r="Z15" s="3">
        <v>0.58200000000000007</v>
      </c>
      <c r="AA15" s="3">
        <v>0.74</v>
      </c>
      <c r="AB15" s="3">
        <v>0.77100000000000002</v>
      </c>
      <c r="AC15" s="3">
        <v>0.77200000000000002</v>
      </c>
      <c r="AD15" s="3">
        <v>0.73699999999999999</v>
      </c>
      <c r="AE15" s="3">
        <v>0.92400000000000004</v>
      </c>
      <c r="AF15" s="3">
        <v>0.81400000000000006</v>
      </c>
      <c r="AG15" s="3">
        <v>0.78300000000000003</v>
      </c>
      <c r="AH15" s="3">
        <v>0.90100000000000002</v>
      </c>
      <c r="AI15" s="3">
        <v>0.82500000000000007</v>
      </c>
      <c r="AJ15" s="3">
        <v>0.88100000000000012</v>
      </c>
      <c r="AK15" s="3">
        <v>0.89900000000000002</v>
      </c>
      <c r="AL15" s="3">
        <v>0.87600000000000011</v>
      </c>
      <c r="AM15" s="3">
        <v>-2.2999999999999993E-2</v>
      </c>
      <c r="AN15" s="3">
        <v>3.3000000000000015E-2</v>
      </c>
      <c r="AO15" s="3">
        <v>-0.27300000000000002</v>
      </c>
      <c r="AP15" s="3">
        <v>0.59400000000000008</v>
      </c>
      <c r="AQ15" s="3">
        <v>0.55099999999999993</v>
      </c>
      <c r="AR15" s="3">
        <v>0.60299999999999998</v>
      </c>
      <c r="AS15" s="3">
        <v>0.75</v>
      </c>
      <c r="AT15" s="3">
        <v>0.72300000000000009</v>
      </c>
      <c r="AU15" s="3">
        <v>0.76300000000000001</v>
      </c>
      <c r="AV15">
        <v>0.73299999999999998</v>
      </c>
      <c r="AW15">
        <v>0.78400000000000003</v>
      </c>
      <c r="AX15">
        <v>0.82000000000000006</v>
      </c>
      <c r="AY15">
        <v>0.72399999999999998</v>
      </c>
      <c r="AZ15">
        <v>0.879</v>
      </c>
      <c r="BA15">
        <v>0.88700000000000001</v>
      </c>
      <c r="BB15">
        <v>0.80099999999999993</v>
      </c>
      <c r="BC15">
        <v>0.89999999999999991</v>
      </c>
      <c r="BD15">
        <v>0.93499999999999994</v>
      </c>
    </row>
    <row r="16" spans="1:56">
      <c r="A16" t="s">
        <v>85</v>
      </c>
      <c r="B16" t="s">
        <v>86</v>
      </c>
      <c r="C16" s="1">
        <v>7.0000000000000062E-3</v>
      </c>
      <c r="D16">
        <v>4.8000000000000015E-2</v>
      </c>
      <c r="E16">
        <v>6.9999999999999785E-3</v>
      </c>
      <c r="F16">
        <v>2.5000000000000022E-2</v>
      </c>
      <c r="G16">
        <v>4.1000000000000009E-2</v>
      </c>
      <c r="H16">
        <v>5.099999999999999E-2</v>
      </c>
      <c r="I16">
        <v>2.8999999999999998E-2</v>
      </c>
      <c r="J16">
        <v>4.8999999999999988E-2</v>
      </c>
      <c r="K16">
        <v>1.7999999999999988E-2</v>
      </c>
      <c r="L16">
        <v>0</v>
      </c>
      <c r="M16">
        <v>2.7999999999999997E-2</v>
      </c>
      <c r="N16">
        <v>-2.5999999999999995E-2</v>
      </c>
      <c r="O16">
        <v>-2.0000000000000018E-2</v>
      </c>
      <c r="P16">
        <v>2.8000000000000025E-2</v>
      </c>
      <c r="Q16">
        <v>-1.999999999999999E-2</v>
      </c>
      <c r="R16">
        <v>1.0999999999999982E-2</v>
      </c>
      <c r="S16">
        <v>1.8000000000000016E-2</v>
      </c>
      <c r="T16">
        <v>-7.0000000000000062E-3</v>
      </c>
      <c r="U16" s="3">
        <v>5.6000000000000008E-2</v>
      </c>
      <c r="V16" s="3">
        <v>6.699999999999999E-2</v>
      </c>
      <c r="W16" s="3">
        <v>9.1000000000000011E-2</v>
      </c>
      <c r="X16" s="3">
        <v>7.3000000000000009E-2</v>
      </c>
      <c r="Y16" s="3">
        <v>3.2000000000000001E-2</v>
      </c>
      <c r="Z16" s="3">
        <v>8.6999999999999994E-2</v>
      </c>
      <c r="AA16" s="3">
        <v>6.6000000000000031E-2</v>
      </c>
      <c r="AB16" s="3">
        <v>3.3000000000000002E-2</v>
      </c>
      <c r="AC16" s="3">
        <v>4.4000000000000011E-2</v>
      </c>
      <c r="AD16" s="3">
        <v>4.0000000000000008E-2</v>
      </c>
      <c r="AE16" s="3">
        <v>1.5000000000000013E-2</v>
      </c>
      <c r="AF16" s="3">
        <v>4.5000000000000012E-2</v>
      </c>
      <c r="AG16" s="3">
        <v>2.7999999999999997E-2</v>
      </c>
      <c r="AH16" s="3">
        <v>-4.0000000000000036E-3</v>
      </c>
      <c r="AI16" s="3">
        <v>1.3000000000000012E-2</v>
      </c>
      <c r="AJ16" s="3">
        <v>3.4000000000000002E-2</v>
      </c>
      <c r="AK16" s="3">
        <v>1.4999999999999986E-2</v>
      </c>
      <c r="AL16" s="3">
        <v>4.8000000000000015E-2</v>
      </c>
      <c r="AM16" s="3">
        <v>-8.0000000000000071E-3</v>
      </c>
      <c r="AN16" s="3">
        <v>0.05</v>
      </c>
      <c r="AO16" s="3">
        <v>-0.26300000000000001</v>
      </c>
      <c r="AP16" s="3">
        <v>2.0000000000000018E-3</v>
      </c>
      <c r="AQ16" s="3">
        <v>4.6000000000000013E-2</v>
      </c>
      <c r="AR16" s="3">
        <v>0.10999999999999999</v>
      </c>
      <c r="AS16" s="3">
        <v>2.7999999999999997E-2</v>
      </c>
      <c r="AT16" s="3">
        <v>4.3999999999999984E-2</v>
      </c>
      <c r="AU16" s="3">
        <v>4.8000000000000015E-2</v>
      </c>
      <c r="AV16">
        <v>-1.0000000000000009E-3</v>
      </c>
      <c r="AW16">
        <v>1.5999999999999986E-2</v>
      </c>
      <c r="AX16">
        <v>3.3000000000000002E-2</v>
      </c>
      <c r="AY16">
        <v>-1.2000000000000011E-2</v>
      </c>
      <c r="AZ16">
        <v>-2.9999999999999749E-3</v>
      </c>
      <c r="BA16">
        <v>1.4000000000000012E-2</v>
      </c>
      <c r="BB16">
        <v>-1.100000000000001E-2</v>
      </c>
      <c r="BC16">
        <v>-7.0000000000000062E-3</v>
      </c>
      <c r="BD16">
        <v>4.5000000000000012E-2</v>
      </c>
    </row>
    <row r="17" spans="1:56">
      <c r="A17" t="s">
        <v>87</v>
      </c>
      <c r="B17" t="s">
        <v>88</v>
      </c>
      <c r="C17" s="1">
        <v>2.0000000000000018E-3</v>
      </c>
      <c r="D17">
        <v>1.2000000000000011E-2</v>
      </c>
      <c r="E17">
        <v>-2.5000000000000008E-2</v>
      </c>
      <c r="F17">
        <v>0.86699999999999999</v>
      </c>
      <c r="G17">
        <v>0.95900000000000007</v>
      </c>
      <c r="H17">
        <v>0.8839999999999999</v>
      </c>
      <c r="I17">
        <v>1.0580000000000001</v>
      </c>
      <c r="J17">
        <v>1.093</v>
      </c>
      <c r="K17">
        <v>0.90100000000000002</v>
      </c>
      <c r="L17">
        <v>0.90100000000000002</v>
      </c>
      <c r="M17">
        <v>0.89500000000000002</v>
      </c>
      <c r="N17">
        <v>0.74199999999999999</v>
      </c>
      <c r="O17">
        <v>0.88400000000000012</v>
      </c>
      <c r="P17">
        <v>0.99099999999999988</v>
      </c>
      <c r="Q17">
        <v>0.71500000000000008</v>
      </c>
      <c r="R17">
        <v>1.018</v>
      </c>
      <c r="S17">
        <v>0.93800000000000017</v>
      </c>
      <c r="T17">
        <v>0.8859999999999999</v>
      </c>
      <c r="U17" s="3">
        <v>-7.0000000000000062E-3</v>
      </c>
      <c r="V17" s="3">
        <v>0</v>
      </c>
      <c r="W17" s="3">
        <v>5.5000000000000007E-2</v>
      </c>
      <c r="X17" s="3">
        <v>0.7609999999999999</v>
      </c>
      <c r="Y17" s="3">
        <v>0.77</v>
      </c>
      <c r="Z17" s="3">
        <v>0.80499999999999994</v>
      </c>
      <c r="AA17" s="3">
        <v>0.91500000000000015</v>
      </c>
      <c r="AB17" s="3">
        <v>0.89300000000000002</v>
      </c>
      <c r="AC17" s="3">
        <v>0.91599999999999993</v>
      </c>
      <c r="AD17" s="3">
        <v>1.0979999999999999</v>
      </c>
      <c r="AE17" s="3">
        <v>1.24</v>
      </c>
      <c r="AF17" s="3">
        <v>1.06</v>
      </c>
      <c r="AG17" s="3">
        <v>1.1099999999999999</v>
      </c>
      <c r="AH17" s="3">
        <v>1.1000000000000001</v>
      </c>
      <c r="AI17" s="3">
        <v>1.0379999999999998</v>
      </c>
      <c r="AJ17" s="3">
        <v>1.0459999999999998</v>
      </c>
      <c r="AK17" s="3">
        <v>1.0840000000000001</v>
      </c>
      <c r="AL17" s="3">
        <v>1.069</v>
      </c>
      <c r="AM17" s="3">
        <v>-4.1000000000000009E-2</v>
      </c>
      <c r="AN17" s="3">
        <v>-6.9999999999999923E-3</v>
      </c>
      <c r="AO17" s="3">
        <v>-0.313</v>
      </c>
      <c r="AP17" s="3">
        <v>0.77300000000000002</v>
      </c>
      <c r="AQ17" s="3">
        <v>0.71900000000000008</v>
      </c>
      <c r="AR17" s="3">
        <v>0.79099999999999993</v>
      </c>
      <c r="AS17" s="3">
        <v>0.92399999999999993</v>
      </c>
      <c r="AT17" s="3">
        <v>0.90900000000000003</v>
      </c>
      <c r="AU17" s="3">
        <v>0.94400000000000006</v>
      </c>
      <c r="AV17">
        <v>1</v>
      </c>
      <c r="AW17">
        <v>1.2489999999999999</v>
      </c>
      <c r="AX17">
        <v>1.02</v>
      </c>
      <c r="AY17">
        <v>1.0210000000000001</v>
      </c>
      <c r="AZ17">
        <v>1.01</v>
      </c>
      <c r="BA17">
        <v>1.012</v>
      </c>
      <c r="BB17">
        <v>0.98199999999999998</v>
      </c>
      <c r="BC17">
        <v>0.99399999999999999</v>
      </c>
      <c r="BD17">
        <v>1.0089999999999999</v>
      </c>
    </row>
    <row r="18" spans="1:56">
      <c r="A18" t="s">
        <v>89</v>
      </c>
      <c r="B18" t="s">
        <v>90</v>
      </c>
      <c r="C18" s="1">
        <v>2.8999999999999998E-2</v>
      </c>
      <c r="D18">
        <v>3.9000000000000007E-2</v>
      </c>
      <c r="E18">
        <v>-2.0000000000000018E-3</v>
      </c>
      <c r="F18">
        <v>1.4000000000000012E-2</v>
      </c>
      <c r="G18">
        <v>5.7000000000000023E-2</v>
      </c>
      <c r="H18">
        <v>7.6999999999999985E-2</v>
      </c>
      <c r="I18">
        <v>-5.0000000000000044E-3</v>
      </c>
      <c r="J18">
        <v>0.03</v>
      </c>
      <c r="K18">
        <v>5.6999999999999995E-2</v>
      </c>
      <c r="L18">
        <v>-2.0000000000000018E-3</v>
      </c>
      <c r="M18">
        <v>3.2000000000000001E-2</v>
      </c>
      <c r="N18">
        <v>2.0000000000000018E-3</v>
      </c>
      <c r="O18">
        <v>-1.0000000000000009E-3</v>
      </c>
      <c r="P18">
        <v>4.7000000000000014E-2</v>
      </c>
      <c r="Q18">
        <v>2.0000000000000018E-3</v>
      </c>
      <c r="R18">
        <v>2.0999999999999991E-2</v>
      </c>
      <c r="S18">
        <v>4.0000000000000008E-2</v>
      </c>
      <c r="T18">
        <v>1.8999999999999989E-2</v>
      </c>
      <c r="U18" s="3">
        <v>4.0000000000000036E-3</v>
      </c>
      <c r="V18" s="3">
        <v>2.1000000000000005E-2</v>
      </c>
      <c r="W18" s="3">
        <v>5.6000000000000008E-2</v>
      </c>
      <c r="X18" s="3">
        <v>0.60400000000000009</v>
      </c>
      <c r="Y18" s="3">
        <v>0.62199999999999989</v>
      </c>
      <c r="Z18" s="3">
        <v>0.65500000000000003</v>
      </c>
      <c r="AA18" s="3">
        <v>0.96499999999999997</v>
      </c>
      <c r="AB18" s="3">
        <v>0.96599999999999997</v>
      </c>
      <c r="AC18" s="3">
        <v>1.02</v>
      </c>
      <c r="AD18" s="3">
        <v>1.004</v>
      </c>
      <c r="AE18" s="3">
        <v>1.2009999999999998</v>
      </c>
      <c r="AF18" s="3">
        <v>1.1919999999999999</v>
      </c>
      <c r="AG18" s="3">
        <v>1.109</v>
      </c>
      <c r="AH18" s="3">
        <v>1.2070000000000001</v>
      </c>
      <c r="AI18" s="3">
        <v>1.1669999999999998</v>
      </c>
      <c r="AJ18" s="3">
        <v>1.0399999999999998</v>
      </c>
      <c r="AK18" s="3">
        <v>1.119</v>
      </c>
      <c r="AL18" s="3">
        <v>1.077</v>
      </c>
      <c r="AM18" s="3">
        <v>-1.8000000000000016E-2</v>
      </c>
      <c r="AN18" s="3">
        <v>4.0000000000000036E-3</v>
      </c>
      <c r="AO18" s="3">
        <v>-0.28899999999999998</v>
      </c>
      <c r="AP18" s="3">
        <v>0.63400000000000001</v>
      </c>
      <c r="AQ18" s="3">
        <v>0.60099999999999998</v>
      </c>
      <c r="AR18" s="3">
        <v>0.65300000000000002</v>
      </c>
      <c r="AS18" s="3">
        <v>1.014</v>
      </c>
      <c r="AT18" s="3">
        <v>0.996</v>
      </c>
      <c r="AU18" s="3">
        <v>0.97000000000000008</v>
      </c>
      <c r="AV18">
        <v>1.1039999999999999</v>
      </c>
      <c r="AW18">
        <v>1.042</v>
      </c>
      <c r="AX18">
        <v>1.1520000000000001</v>
      </c>
      <c r="AY18">
        <v>1.077</v>
      </c>
      <c r="AZ18">
        <v>1.0649999999999999</v>
      </c>
      <c r="BA18">
        <v>1.03</v>
      </c>
      <c r="BB18">
        <v>1.0489999999999999</v>
      </c>
      <c r="BC18">
        <v>0.998</v>
      </c>
      <c r="BD18">
        <v>1.0569999999999999</v>
      </c>
    </row>
    <row r="19" spans="1:56">
      <c r="A19" t="s">
        <v>91</v>
      </c>
      <c r="B19" t="s">
        <v>92</v>
      </c>
      <c r="C19" s="1">
        <v>-1.6E-2</v>
      </c>
      <c r="D19">
        <v>1.7000000000000015E-2</v>
      </c>
      <c r="E19">
        <v>-2.700000000000001E-2</v>
      </c>
      <c r="F19">
        <v>4.0000000000000036E-3</v>
      </c>
      <c r="G19">
        <v>6.0000000000000053E-3</v>
      </c>
      <c r="H19">
        <v>-6.0000000000000053E-3</v>
      </c>
      <c r="I19">
        <v>-2.6999999999999996E-2</v>
      </c>
      <c r="J19">
        <v>-2.6000000000000023E-2</v>
      </c>
      <c r="K19">
        <v>-4.8000000000000015E-2</v>
      </c>
      <c r="L19">
        <v>-5.1999999999999991E-2</v>
      </c>
      <c r="M19">
        <v>-3.6000000000000004E-2</v>
      </c>
      <c r="N19">
        <v>-7.5000000000000011E-2</v>
      </c>
      <c r="O19">
        <v>-5.1000000000000018E-2</v>
      </c>
      <c r="P19">
        <v>-2.7999999999999997E-2</v>
      </c>
      <c r="Q19">
        <v>-6.7000000000000004E-2</v>
      </c>
      <c r="R19">
        <v>-1.7000000000000015E-2</v>
      </c>
      <c r="S19">
        <v>-1.7999999999999988E-2</v>
      </c>
      <c r="T19">
        <v>-5.1000000000000018E-2</v>
      </c>
      <c r="U19" s="3">
        <v>-1.0000000000000009E-3</v>
      </c>
      <c r="V19" s="3">
        <v>2.1000000000000005E-2</v>
      </c>
      <c r="W19" s="3">
        <v>5.4000000000000006E-2</v>
      </c>
      <c r="X19" s="3">
        <v>0.57800000000000007</v>
      </c>
      <c r="Y19" s="3">
        <v>0.60200000000000009</v>
      </c>
      <c r="Z19" s="3">
        <v>0.60100000000000009</v>
      </c>
      <c r="AA19" s="3">
        <v>1.0089999999999999</v>
      </c>
      <c r="AB19" s="3">
        <v>1.032</v>
      </c>
      <c r="AC19" s="3">
        <v>1.004</v>
      </c>
      <c r="AD19" s="3">
        <v>1.1669999999999998</v>
      </c>
      <c r="AE19" s="3">
        <v>1.1829999999999998</v>
      </c>
      <c r="AF19" s="3">
        <v>1.228</v>
      </c>
      <c r="AG19" s="3">
        <v>1.103</v>
      </c>
      <c r="AH19" s="3">
        <v>1.2630000000000001</v>
      </c>
      <c r="AI19" s="3">
        <v>1.1809999999999998</v>
      </c>
      <c r="AJ19" s="3">
        <v>1.123</v>
      </c>
      <c r="AK19" s="3">
        <v>1.1910000000000001</v>
      </c>
      <c r="AL19" s="3">
        <v>1.1300000000000001</v>
      </c>
      <c r="AM19" s="3">
        <v>-4.0000000000000036E-3</v>
      </c>
      <c r="AN19" s="3">
        <v>1.100000000000001E-2</v>
      </c>
      <c r="AO19" s="3">
        <v>-0.31999999999999995</v>
      </c>
      <c r="AP19" s="3">
        <v>0.58300000000000007</v>
      </c>
      <c r="AQ19" s="3">
        <v>0.59600000000000009</v>
      </c>
      <c r="AR19" s="3">
        <v>0.62199999999999989</v>
      </c>
      <c r="AS19" s="3">
        <v>0.996</v>
      </c>
      <c r="AT19" s="3">
        <v>0.996</v>
      </c>
      <c r="AU19" s="3">
        <v>0.98299999999999998</v>
      </c>
      <c r="AV19">
        <v>1.0759999999999998</v>
      </c>
      <c r="AW19">
        <v>1.163</v>
      </c>
      <c r="AX19">
        <v>1.1340000000000001</v>
      </c>
      <c r="AY19">
        <v>1.0449999999999999</v>
      </c>
      <c r="AZ19">
        <v>1.246</v>
      </c>
      <c r="BA19">
        <v>1.1679999999999999</v>
      </c>
      <c r="BB19">
        <v>1.075</v>
      </c>
      <c r="BC19">
        <v>1.1279999999999999</v>
      </c>
      <c r="BD19">
        <v>1.157</v>
      </c>
    </row>
    <row r="20" spans="1:56">
      <c r="A20" t="s">
        <v>93</v>
      </c>
      <c r="B20" t="s">
        <v>94</v>
      </c>
      <c r="C20" s="1">
        <v>-2.6999999999999996E-2</v>
      </c>
      <c r="D20">
        <v>-1.1999999999999997E-2</v>
      </c>
      <c r="E20">
        <v>-3.6000000000000004E-2</v>
      </c>
      <c r="F20">
        <v>1.0000000000000009E-2</v>
      </c>
      <c r="G20">
        <v>4.1000000000000009E-2</v>
      </c>
      <c r="H20">
        <v>4.9999999999999989E-2</v>
      </c>
      <c r="I20">
        <v>2.1999999999999992E-2</v>
      </c>
      <c r="J20">
        <v>0.06</v>
      </c>
      <c r="K20">
        <v>-1.0000000000000009E-3</v>
      </c>
      <c r="L20">
        <v>6.7000000000000004E-2</v>
      </c>
      <c r="M20">
        <v>4.8000000000000015E-2</v>
      </c>
      <c r="N20">
        <v>-2.8999999999999998E-2</v>
      </c>
      <c r="O20">
        <v>4.8999999999999988E-2</v>
      </c>
      <c r="P20">
        <v>5.3000000000000019E-2</v>
      </c>
      <c r="Q20">
        <v>-3.2000000000000001E-2</v>
      </c>
      <c r="R20">
        <v>6.9000000000000006E-2</v>
      </c>
      <c r="S20">
        <v>4.0000000000000008E-2</v>
      </c>
      <c r="T20">
        <v>-2.7000000000000024E-2</v>
      </c>
      <c r="U20" s="3">
        <v>7.9999999999999932E-3</v>
      </c>
      <c r="V20" s="3">
        <v>-3.0000000000000027E-3</v>
      </c>
      <c r="W20" s="3">
        <v>3.2999999999999988E-2</v>
      </c>
      <c r="X20" s="3">
        <v>3.4000000000000002E-2</v>
      </c>
      <c r="Y20" s="3">
        <v>3.999999999999998E-2</v>
      </c>
      <c r="Z20" s="3">
        <v>8.199999999999999E-2</v>
      </c>
      <c r="AA20" s="3">
        <v>3.5000000000000003E-2</v>
      </c>
      <c r="AB20" s="3">
        <v>4.5000000000000012E-2</v>
      </c>
      <c r="AC20" s="3">
        <v>3.9000000000000007E-2</v>
      </c>
      <c r="AD20" s="3">
        <v>3.3000000000000002E-2</v>
      </c>
      <c r="AE20" s="3">
        <v>4.5000000000000012E-2</v>
      </c>
      <c r="AF20" s="3">
        <v>6.3000000000000028E-2</v>
      </c>
      <c r="AG20" s="3">
        <v>2.2999999999999993E-2</v>
      </c>
      <c r="AH20" s="3">
        <v>0.03</v>
      </c>
      <c r="AI20" s="3">
        <v>3.2000000000000001E-2</v>
      </c>
      <c r="AJ20" s="3">
        <v>2.5999999999999995E-2</v>
      </c>
      <c r="AK20" s="3">
        <v>4.6999999999999986E-2</v>
      </c>
      <c r="AL20" s="3">
        <v>5.400000000000002E-2</v>
      </c>
      <c r="AM20" s="3">
        <v>-5.7999999999999996E-2</v>
      </c>
      <c r="AN20" s="3">
        <v>2.2000000000000006E-2</v>
      </c>
      <c r="AO20" s="3">
        <v>-0.33899999999999997</v>
      </c>
      <c r="AP20" s="3">
        <v>-3.0000000000000027E-3</v>
      </c>
      <c r="AQ20" s="3">
        <v>3.5000000000000003E-2</v>
      </c>
      <c r="AR20" s="3">
        <v>9.5999999999999974E-2</v>
      </c>
      <c r="AS20" s="3">
        <v>1.2000000000000011E-2</v>
      </c>
      <c r="AT20" s="3">
        <v>2.6999999999999996E-2</v>
      </c>
      <c r="AU20" s="3">
        <v>3.5000000000000003E-2</v>
      </c>
      <c r="AV20">
        <v>1.2000000000000011E-2</v>
      </c>
      <c r="AW20">
        <v>2.3999999999999994E-2</v>
      </c>
      <c r="AX20">
        <v>3.8999999999999979E-2</v>
      </c>
      <c r="AY20">
        <v>-4.0000000000000036E-3</v>
      </c>
      <c r="AZ20">
        <v>8.0000000000000071E-3</v>
      </c>
      <c r="BA20">
        <v>2.4000000000000021E-2</v>
      </c>
      <c r="BB20">
        <v>-3.0000000000000027E-3</v>
      </c>
      <c r="BC20">
        <v>3.9999999999999758E-3</v>
      </c>
      <c r="BD20">
        <v>4.7000000000000014E-2</v>
      </c>
    </row>
    <row r="21" spans="1:56">
      <c r="A21" t="s">
        <v>95</v>
      </c>
      <c r="B21" t="s">
        <v>96</v>
      </c>
      <c r="C21" s="1">
        <v>4.0000000000000036E-3</v>
      </c>
      <c r="D21">
        <v>-9.999999999999995E-3</v>
      </c>
      <c r="E21">
        <v>-2.700000000000001E-2</v>
      </c>
      <c r="F21">
        <v>0.77299999999999991</v>
      </c>
      <c r="G21">
        <v>0.86299999999999999</v>
      </c>
      <c r="H21">
        <v>0.80799999999999994</v>
      </c>
      <c r="I21">
        <v>1.1379999999999999</v>
      </c>
      <c r="J21">
        <v>1.2209999999999999</v>
      </c>
      <c r="K21">
        <v>1.1100000000000001</v>
      </c>
      <c r="L21">
        <v>1.3140000000000001</v>
      </c>
      <c r="M21">
        <v>1.417</v>
      </c>
      <c r="N21">
        <v>1.244</v>
      </c>
      <c r="O21">
        <v>1.474</v>
      </c>
      <c r="P21">
        <v>1.609</v>
      </c>
      <c r="Q21">
        <v>1.4350000000000001</v>
      </c>
      <c r="R21">
        <v>1.5810000000000002</v>
      </c>
      <c r="S21">
        <v>1.6660000000000001</v>
      </c>
      <c r="T21">
        <v>1.5329999999999999</v>
      </c>
      <c r="U21" s="3">
        <v>-5.0000000000000044E-3</v>
      </c>
      <c r="V21" s="3">
        <v>4.0000000000000036E-3</v>
      </c>
      <c r="W21" s="3">
        <v>3.1999999999999987E-2</v>
      </c>
      <c r="X21" s="3">
        <v>0.83000000000000007</v>
      </c>
      <c r="Y21" s="3">
        <v>0.88700000000000001</v>
      </c>
      <c r="Z21" s="3">
        <v>0.877</v>
      </c>
      <c r="AA21" s="3">
        <v>1.266</v>
      </c>
      <c r="AB21" s="3">
        <v>1.268</v>
      </c>
      <c r="AC21" s="3">
        <v>1.2810000000000001</v>
      </c>
      <c r="AD21" s="3">
        <v>1.3619999999999999</v>
      </c>
      <c r="AE21" s="3">
        <v>1.367</v>
      </c>
      <c r="AF21" s="3">
        <v>1.4219999999999999</v>
      </c>
      <c r="AG21" s="3">
        <v>1.395</v>
      </c>
      <c r="AH21" s="3">
        <v>1.3960000000000001</v>
      </c>
      <c r="AI21" s="3">
        <v>1.4389999999999998</v>
      </c>
      <c r="AJ21" s="3">
        <v>1.5089999999999999</v>
      </c>
      <c r="AK21" s="3">
        <v>1.494</v>
      </c>
      <c r="AL21" s="3">
        <v>1.49</v>
      </c>
      <c r="AM21" s="3">
        <v>-4.1000000000000009E-2</v>
      </c>
      <c r="AN21" s="3">
        <v>3.0000000000000027E-3</v>
      </c>
      <c r="AO21" s="3">
        <v>-0.377</v>
      </c>
      <c r="AP21" s="3">
        <v>0.85</v>
      </c>
      <c r="AQ21" s="3">
        <v>0.83899999999999997</v>
      </c>
      <c r="AR21" s="3">
        <v>0.83699999999999997</v>
      </c>
      <c r="AS21" s="3">
        <v>1.1719999999999999</v>
      </c>
      <c r="AT21" s="3">
        <v>1.2069999999999999</v>
      </c>
      <c r="AU21" s="3">
        <v>1.105</v>
      </c>
      <c r="AV21">
        <v>1.3059999999999998</v>
      </c>
      <c r="AW21">
        <v>1.3129999999999999</v>
      </c>
      <c r="AX21">
        <v>1.268</v>
      </c>
      <c r="AY21">
        <v>1.339</v>
      </c>
      <c r="AZ21">
        <v>1.353</v>
      </c>
      <c r="BA21">
        <v>1.3380000000000001</v>
      </c>
      <c r="BB21">
        <v>1.4040000000000001</v>
      </c>
      <c r="BC21">
        <v>1.4159999999999999</v>
      </c>
      <c r="BD21">
        <v>1.385</v>
      </c>
    </row>
    <row r="22" spans="1:56">
      <c r="A22" t="s">
        <v>97</v>
      </c>
      <c r="B22" t="s">
        <v>98</v>
      </c>
      <c r="C22" s="1">
        <v>1.999999999999999E-2</v>
      </c>
      <c r="D22">
        <v>1.3000000000000012E-2</v>
      </c>
      <c r="E22">
        <v>-1.5000000000000013E-2</v>
      </c>
      <c r="F22">
        <v>-3.1999999999999973E-2</v>
      </c>
      <c r="G22">
        <v>-8.9999999999999802E-3</v>
      </c>
      <c r="H22">
        <v>-1.6000000000000014E-2</v>
      </c>
      <c r="I22">
        <v>-2.6999999999999996E-2</v>
      </c>
      <c r="J22">
        <v>0.30999999999999994</v>
      </c>
      <c r="K22">
        <v>0.17699999999999999</v>
      </c>
      <c r="L22">
        <v>-1.8000000000000016E-2</v>
      </c>
      <c r="M22">
        <v>0.52299999999999991</v>
      </c>
      <c r="N22">
        <v>0.38600000000000001</v>
      </c>
      <c r="O22">
        <v>3.1E-2</v>
      </c>
      <c r="P22">
        <v>0.63500000000000001</v>
      </c>
      <c r="Q22">
        <v>0.48399999999999999</v>
      </c>
      <c r="R22">
        <v>0.12399999999999997</v>
      </c>
      <c r="S22">
        <v>0.66700000000000004</v>
      </c>
      <c r="T22">
        <v>0.53899999999999992</v>
      </c>
      <c r="U22" s="3">
        <v>5.0000000000000044E-3</v>
      </c>
      <c r="V22" s="3">
        <v>9.999999999999995E-3</v>
      </c>
      <c r="W22" s="3">
        <v>3.599999999999999E-2</v>
      </c>
      <c r="X22" s="3">
        <v>7.9999999999999793E-3</v>
      </c>
      <c r="Y22" s="3">
        <v>9.9999999999999811E-3</v>
      </c>
      <c r="Z22" s="3">
        <v>2.0000000000000018E-3</v>
      </c>
      <c r="AA22" s="3">
        <v>0.28600000000000003</v>
      </c>
      <c r="AB22" s="3">
        <v>0.30200000000000005</v>
      </c>
      <c r="AC22" s="3">
        <v>0.24400000000000002</v>
      </c>
      <c r="AD22" s="3">
        <v>0.46700000000000008</v>
      </c>
      <c r="AE22" s="3">
        <v>0.50600000000000001</v>
      </c>
      <c r="AF22" s="3">
        <v>0.44900000000000007</v>
      </c>
      <c r="AG22" s="3">
        <v>0.54500000000000004</v>
      </c>
      <c r="AH22" s="3">
        <v>0.56100000000000005</v>
      </c>
      <c r="AI22" s="3">
        <v>0.51600000000000001</v>
      </c>
      <c r="AJ22" s="3">
        <v>0.57200000000000006</v>
      </c>
      <c r="AK22" s="3">
        <v>0.59800000000000009</v>
      </c>
      <c r="AL22" s="3">
        <v>0.54</v>
      </c>
      <c r="AM22" s="3">
        <v>-8.0000000000000071E-3</v>
      </c>
      <c r="AN22" s="3">
        <v>2.0000000000000004E-2</v>
      </c>
      <c r="AO22" s="3">
        <v>-0.34699999999999998</v>
      </c>
      <c r="AP22" s="3">
        <v>-7.9999999999999988E-2</v>
      </c>
      <c r="AQ22" s="3">
        <v>-1.0000000000000009E-3</v>
      </c>
      <c r="AR22" s="3">
        <v>-0.03</v>
      </c>
      <c r="AS22" s="3">
        <v>3.0000000000000027E-3</v>
      </c>
      <c r="AT22" s="3">
        <v>0.34700000000000003</v>
      </c>
      <c r="AU22" s="3">
        <v>3.6000000000000004E-2</v>
      </c>
      <c r="AV22">
        <v>5.7000000000000023E-2</v>
      </c>
      <c r="AW22">
        <v>0.53400000000000003</v>
      </c>
      <c r="AX22">
        <v>0.22499999999999998</v>
      </c>
      <c r="AY22">
        <v>0.11500000000000002</v>
      </c>
      <c r="AZ22">
        <v>0.58100000000000007</v>
      </c>
      <c r="BA22">
        <v>0.33400000000000007</v>
      </c>
      <c r="BB22">
        <v>0.17200000000000001</v>
      </c>
      <c r="BC22">
        <v>0.60899999999999999</v>
      </c>
      <c r="BD22">
        <v>0.36799999999999999</v>
      </c>
    </row>
    <row r="23" spans="1:56">
      <c r="A23" t="s">
        <v>99</v>
      </c>
      <c r="B23" t="s">
        <v>100</v>
      </c>
      <c r="C23" s="1">
        <v>-1.1999999999999997E-2</v>
      </c>
      <c r="D23">
        <v>8.0000000000000071E-3</v>
      </c>
      <c r="E23">
        <v>-3.6000000000000004E-2</v>
      </c>
      <c r="F23">
        <v>-6.7999999999999991E-2</v>
      </c>
      <c r="G23">
        <v>-6.699999999999999E-2</v>
      </c>
      <c r="H23">
        <v>-6.9000000000000006E-2</v>
      </c>
      <c r="I23">
        <v>-6.2000000000000013E-2</v>
      </c>
      <c r="J23">
        <v>-6.5000000000000016E-2</v>
      </c>
      <c r="K23">
        <v>-9.6000000000000002E-2</v>
      </c>
      <c r="L23">
        <v>-8.3000000000000004E-2</v>
      </c>
      <c r="M23">
        <v>-7.4999999999999997E-2</v>
      </c>
      <c r="N23">
        <v>-0.12100000000000001</v>
      </c>
      <c r="O23">
        <v>-0.08</v>
      </c>
      <c r="P23">
        <v>-6.1999999999999986E-2</v>
      </c>
      <c r="Q23">
        <v>-0.109</v>
      </c>
      <c r="R23">
        <v>-4.8000000000000001E-2</v>
      </c>
      <c r="S23">
        <v>-5.9999999999999984E-2</v>
      </c>
      <c r="T23">
        <v>-9.3000000000000013E-2</v>
      </c>
      <c r="U23" s="3">
        <v>8.9999999999999941E-3</v>
      </c>
      <c r="V23" s="3">
        <v>3.3999999999999989E-2</v>
      </c>
      <c r="W23" s="3">
        <v>1.4999999999999999E-2</v>
      </c>
      <c r="X23" s="3">
        <v>-8.6000000000000007E-2</v>
      </c>
      <c r="Y23" s="3">
        <v>-8.5000000000000006E-2</v>
      </c>
      <c r="Z23" s="3">
        <v>-9.2999999999999985E-2</v>
      </c>
      <c r="AA23" s="3">
        <v>-0.10099999999999999</v>
      </c>
      <c r="AB23" s="3">
        <v>-9.8999999999999991E-2</v>
      </c>
      <c r="AC23" s="3">
        <v>-0.106</v>
      </c>
      <c r="AD23" s="3">
        <v>-0.111</v>
      </c>
      <c r="AE23" s="3">
        <v>-9.6999999999999989E-2</v>
      </c>
      <c r="AF23" s="3">
        <v>-9.8999999999999991E-2</v>
      </c>
      <c r="AG23" s="3">
        <v>-0.111</v>
      </c>
      <c r="AH23" s="3">
        <v>-0.104</v>
      </c>
      <c r="AI23" s="3">
        <v>-0.111</v>
      </c>
      <c r="AJ23" s="3">
        <v>-0.105</v>
      </c>
      <c r="AK23" s="3">
        <v>1.999999999999974E-3</v>
      </c>
      <c r="AL23" s="3">
        <v>-0.109</v>
      </c>
      <c r="AM23" s="3">
        <v>-5.6000000000000008E-2</v>
      </c>
      <c r="AN23" s="3">
        <v>1.100000000000001E-2</v>
      </c>
      <c r="AO23" s="3">
        <v>-0.23099999999999998</v>
      </c>
      <c r="AP23" s="3">
        <v>-0.109</v>
      </c>
      <c r="AQ23" s="3">
        <v>-0.08</v>
      </c>
      <c r="AR23" s="3">
        <v>-8.4000000000000005E-2</v>
      </c>
      <c r="AS23" s="3">
        <v>-9.1999999999999998E-2</v>
      </c>
      <c r="AT23" s="3">
        <v>-9.2000000000000012E-2</v>
      </c>
      <c r="AU23" s="3">
        <v>-0.10199999999999999</v>
      </c>
      <c r="AV23">
        <v>-0.11</v>
      </c>
      <c r="AW23">
        <v>-9.5000000000000015E-2</v>
      </c>
      <c r="AX23">
        <v>-9.4000000000000014E-2</v>
      </c>
      <c r="AY23">
        <v>-0.11</v>
      </c>
      <c r="AZ23">
        <v>-9.9999999999999992E-2</v>
      </c>
      <c r="BA23">
        <v>-9.6999999999999989E-2</v>
      </c>
      <c r="BB23">
        <v>-0.10199999999999999</v>
      </c>
      <c r="BC23">
        <v>-9.4000000000000014E-2</v>
      </c>
      <c r="BD23">
        <v>-8.9999999999999983E-2</v>
      </c>
    </row>
    <row r="24" spans="1:56">
      <c r="A24" t="s">
        <v>101</v>
      </c>
      <c r="B24" t="s">
        <v>102</v>
      </c>
      <c r="C24" s="1">
        <v>-8.9999999999999941E-3</v>
      </c>
      <c r="D24">
        <v>2.3999999999999994E-2</v>
      </c>
      <c r="E24">
        <v>1.2999999999999984E-2</v>
      </c>
      <c r="F24">
        <v>0.41</v>
      </c>
      <c r="G24">
        <v>0.61699999999999999</v>
      </c>
      <c r="H24">
        <v>0.55899999999999994</v>
      </c>
      <c r="I24">
        <v>0.66299999999999992</v>
      </c>
      <c r="J24">
        <v>0.78599999999999992</v>
      </c>
      <c r="K24">
        <v>0.75299999999999989</v>
      </c>
      <c r="L24">
        <v>0.68300000000000005</v>
      </c>
      <c r="M24">
        <v>0.72900000000000009</v>
      </c>
      <c r="N24">
        <v>0.66</v>
      </c>
      <c r="O24">
        <v>0.61499999999999999</v>
      </c>
      <c r="P24">
        <v>0.72599999999999998</v>
      </c>
      <c r="Q24">
        <v>0.60199999999999998</v>
      </c>
      <c r="R24">
        <v>0.64400000000000002</v>
      </c>
      <c r="S24">
        <v>0.7330000000000001</v>
      </c>
      <c r="T24">
        <v>0.64100000000000001</v>
      </c>
      <c r="U24" s="3">
        <v>2.3000000000000007E-2</v>
      </c>
      <c r="V24" s="3">
        <v>3.8999999999999993E-2</v>
      </c>
      <c r="W24" s="3">
        <v>5.9000000000000011E-2</v>
      </c>
      <c r="X24" s="3">
        <v>0.57400000000000007</v>
      </c>
      <c r="Y24" s="3">
        <v>0.61799999999999988</v>
      </c>
      <c r="Z24" s="3">
        <v>0.58500000000000008</v>
      </c>
      <c r="AA24" s="3">
        <v>0.71200000000000008</v>
      </c>
      <c r="AB24" s="3">
        <v>0.748</v>
      </c>
      <c r="AC24" s="3">
        <v>0.747</v>
      </c>
      <c r="AD24" s="3">
        <v>0.79799999999999993</v>
      </c>
      <c r="AE24" s="3">
        <v>0.84599999999999997</v>
      </c>
      <c r="AF24" s="3">
        <v>0.86299999999999999</v>
      </c>
      <c r="AG24" s="3">
        <v>0.80500000000000005</v>
      </c>
      <c r="AH24" s="3">
        <v>0.78499999999999992</v>
      </c>
      <c r="AI24" s="3">
        <v>0.83799999999999997</v>
      </c>
      <c r="AJ24" s="3">
        <v>0.78599999999999992</v>
      </c>
      <c r="AK24" s="3">
        <v>0.79899999999999993</v>
      </c>
      <c r="AL24" s="3">
        <v>0.81400000000000006</v>
      </c>
      <c r="AM24" s="3">
        <v>-2.6999999999999996E-2</v>
      </c>
      <c r="AN24" s="3">
        <v>0.05</v>
      </c>
      <c r="AO24" s="3">
        <v>-0.32099999999999995</v>
      </c>
      <c r="AP24" s="3">
        <v>0.49399999999999999</v>
      </c>
      <c r="AQ24" s="3">
        <v>0.60600000000000009</v>
      </c>
      <c r="AR24" s="3">
        <v>0.46700000000000003</v>
      </c>
      <c r="AS24" s="3">
        <v>0.71900000000000008</v>
      </c>
      <c r="AT24" s="3">
        <v>0.748</v>
      </c>
      <c r="AU24" s="3">
        <v>0.70400000000000007</v>
      </c>
      <c r="AV24">
        <v>0.76</v>
      </c>
      <c r="AW24">
        <v>0.86399999999999988</v>
      </c>
      <c r="AX24">
        <v>0.87200000000000011</v>
      </c>
      <c r="AY24">
        <v>0.85000000000000009</v>
      </c>
      <c r="AZ24">
        <v>0.82499999999999996</v>
      </c>
      <c r="BA24">
        <v>0.83099999999999996</v>
      </c>
      <c r="BB24">
        <v>0.79899999999999993</v>
      </c>
      <c r="BC24">
        <v>0.83599999999999985</v>
      </c>
      <c r="BD24">
        <v>0.81900000000000006</v>
      </c>
    </row>
    <row r="25" spans="1:56">
      <c r="A25" t="s">
        <v>103</v>
      </c>
      <c r="B25" t="s">
        <v>104</v>
      </c>
      <c r="C25" s="1">
        <v>-3.0000000000000027E-3</v>
      </c>
      <c r="D25">
        <v>1.4000000000000012E-2</v>
      </c>
      <c r="E25">
        <v>1.5999999999999986E-2</v>
      </c>
      <c r="F25">
        <v>0.50600000000000001</v>
      </c>
      <c r="G25">
        <v>0.70599999999999996</v>
      </c>
      <c r="H25">
        <v>0.54799999999999993</v>
      </c>
      <c r="I25">
        <v>0.92500000000000004</v>
      </c>
      <c r="J25">
        <v>1.0209999999999999</v>
      </c>
      <c r="K25">
        <v>0.95700000000000007</v>
      </c>
      <c r="L25">
        <v>0.99</v>
      </c>
      <c r="M25">
        <v>0.79200000000000004</v>
      </c>
      <c r="N25">
        <v>0.69600000000000006</v>
      </c>
      <c r="O25">
        <v>0.69</v>
      </c>
      <c r="P25">
        <v>0.67700000000000005</v>
      </c>
      <c r="Q25">
        <v>0.73299999999999998</v>
      </c>
      <c r="R25">
        <v>0.754</v>
      </c>
      <c r="S25">
        <v>0.78499999999999992</v>
      </c>
      <c r="T25">
        <v>0.70199999999999996</v>
      </c>
      <c r="U25" s="3">
        <v>-9.000000000000008E-3</v>
      </c>
      <c r="V25" s="3">
        <v>5.0000000000000044E-3</v>
      </c>
      <c r="W25" s="3">
        <v>8.3000000000000004E-2</v>
      </c>
      <c r="X25" s="3">
        <v>0.49799999999999994</v>
      </c>
      <c r="Y25" s="3">
        <v>0.53600000000000003</v>
      </c>
      <c r="Z25" s="3">
        <v>0.628</v>
      </c>
      <c r="AA25" s="3">
        <v>0.76</v>
      </c>
      <c r="AB25" s="3">
        <v>0.81499999999999995</v>
      </c>
      <c r="AC25" s="3">
        <v>0.77500000000000002</v>
      </c>
      <c r="AD25" s="3">
        <v>0.87700000000000011</v>
      </c>
      <c r="AE25" s="3">
        <v>1.0129999999999999</v>
      </c>
      <c r="AF25" s="3">
        <v>0.9850000000000001</v>
      </c>
      <c r="AG25" s="3">
        <v>0.86599999999999999</v>
      </c>
      <c r="AH25" s="3">
        <v>0.94199999999999995</v>
      </c>
      <c r="AI25" s="3">
        <v>0.91400000000000003</v>
      </c>
      <c r="AJ25" s="3">
        <v>0.82500000000000007</v>
      </c>
      <c r="AK25" s="3">
        <v>0.8640000000000001</v>
      </c>
      <c r="AL25" s="3">
        <v>0.81</v>
      </c>
      <c r="AM25" s="3">
        <v>-4.3999999999999997E-2</v>
      </c>
      <c r="AN25" s="3">
        <v>1.0000000000000009E-3</v>
      </c>
      <c r="AO25" s="3">
        <v>-0.30599999999999999</v>
      </c>
      <c r="AP25" s="3">
        <v>0.48799999999999999</v>
      </c>
      <c r="AQ25" s="3">
        <v>0.46</v>
      </c>
      <c r="AR25" s="3">
        <v>0.53499999999999992</v>
      </c>
      <c r="AS25" s="3">
        <v>0.8</v>
      </c>
      <c r="AT25" s="3">
        <v>0.746</v>
      </c>
      <c r="AU25" s="3">
        <v>0.81300000000000006</v>
      </c>
      <c r="AV25">
        <v>0.85500000000000009</v>
      </c>
      <c r="AW25">
        <v>0.85599999999999987</v>
      </c>
      <c r="AX25">
        <v>0.90600000000000014</v>
      </c>
      <c r="AY25">
        <v>0.84400000000000008</v>
      </c>
      <c r="AZ25">
        <v>0.8640000000000001</v>
      </c>
      <c r="BA25">
        <v>0.88200000000000012</v>
      </c>
      <c r="BB25">
        <v>0.8660000000000001</v>
      </c>
      <c r="BC25">
        <v>0.80999999999999983</v>
      </c>
      <c r="BD25">
        <v>0.88</v>
      </c>
    </row>
    <row r="26" spans="1:56">
      <c r="A26" t="s">
        <v>105</v>
      </c>
      <c r="B26" t="s">
        <v>106</v>
      </c>
      <c r="C26" s="1">
        <v>-5.0000000000000044E-3</v>
      </c>
      <c r="D26">
        <v>2.6999999999999996E-2</v>
      </c>
      <c r="E26">
        <v>1.3999999999999985E-2</v>
      </c>
      <c r="F26">
        <v>0.52200000000000002</v>
      </c>
      <c r="G26">
        <v>0.63900000000000001</v>
      </c>
      <c r="H26">
        <v>0.57299999999999995</v>
      </c>
      <c r="I26">
        <v>0.81699999999999995</v>
      </c>
      <c r="J26">
        <v>0.94</v>
      </c>
      <c r="K26">
        <v>0.94900000000000007</v>
      </c>
      <c r="L26">
        <v>0.84200000000000008</v>
      </c>
      <c r="M26">
        <v>0.6140000000000001</v>
      </c>
      <c r="N26">
        <v>0.72799999999999998</v>
      </c>
      <c r="O26">
        <v>0.79699999999999993</v>
      </c>
      <c r="P26">
        <v>0.61499999999999999</v>
      </c>
      <c r="Q26">
        <v>0.55700000000000005</v>
      </c>
      <c r="R26">
        <v>0.85399999999999998</v>
      </c>
      <c r="S26">
        <v>0.6180000000000001</v>
      </c>
      <c r="T26">
        <v>0.61699999999999999</v>
      </c>
      <c r="U26" s="3">
        <v>-4.0000000000000036E-3</v>
      </c>
      <c r="V26" s="3">
        <v>-1.0000000000000009E-3</v>
      </c>
      <c r="W26" s="3">
        <v>6.4999999999999988E-2</v>
      </c>
      <c r="X26" s="3">
        <v>0.55600000000000005</v>
      </c>
      <c r="Y26" s="3">
        <v>0.57000000000000006</v>
      </c>
      <c r="Z26" s="3">
        <v>0.57100000000000006</v>
      </c>
      <c r="AA26" s="3">
        <v>0.74099999999999999</v>
      </c>
      <c r="AB26" s="3">
        <v>0.73799999999999999</v>
      </c>
      <c r="AC26" s="3">
        <v>0.69800000000000006</v>
      </c>
      <c r="AD26" s="3">
        <v>0.87900000000000011</v>
      </c>
      <c r="AE26" s="3">
        <v>0.90500000000000014</v>
      </c>
      <c r="AF26" s="3">
        <v>0.87800000000000011</v>
      </c>
      <c r="AG26" s="3">
        <v>0.89200000000000002</v>
      </c>
      <c r="AH26" s="3">
        <v>0.85200000000000009</v>
      </c>
      <c r="AI26" s="3">
        <v>0.88200000000000001</v>
      </c>
      <c r="AJ26" s="3">
        <v>0.82199999999999995</v>
      </c>
      <c r="AK26" s="3">
        <v>0.83800000000000008</v>
      </c>
      <c r="AL26" s="3">
        <v>0.79800000000000004</v>
      </c>
      <c r="AM26" s="3">
        <v>-3.7000000000000005E-2</v>
      </c>
      <c r="AN26" s="3">
        <v>-4.9999999999999906E-3</v>
      </c>
      <c r="AO26" s="3">
        <v>-0.29799999999999999</v>
      </c>
      <c r="AP26" s="3">
        <v>0.48599999999999999</v>
      </c>
      <c r="AQ26" s="3">
        <v>0.49500000000000005</v>
      </c>
      <c r="AR26" s="3">
        <v>0.54600000000000004</v>
      </c>
      <c r="AS26" s="3">
        <v>0.68600000000000005</v>
      </c>
      <c r="AT26" s="3">
        <v>0.7390000000000001</v>
      </c>
      <c r="AU26" s="3">
        <v>0.71300000000000008</v>
      </c>
      <c r="AV26">
        <v>0.80500000000000005</v>
      </c>
      <c r="AW26">
        <v>0.873</v>
      </c>
      <c r="AX26">
        <v>0.8640000000000001</v>
      </c>
      <c r="AY26">
        <v>0.88700000000000001</v>
      </c>
      <c r="AZ26">
        <v>0.875</v>
      </c>
      <c r="BA26">
        <v>0.93599999999999994</v>
      </c>
      <c r="BB26">
        <v>0.85400000000000009</v>
      </c>
      <c r="BC26">
        <v>0.80899999999999994</v>
      </c>
      <c r="BD26">
        <v>0.87700000000000011</v>
      </c>
    </row>
    <row r="27" spans="1:56">
      <c r="A27" t="s">
        <v>107</v>
      </c>
      <c r="B27" t="s">
        <v>108</v>
      </c>
      <c r="C27" s="1">
        <v>-8.9999999999999941E-3</v>
      </c>
      <c r="D27">
        <v>1.4000000000000012E-2</v>
      </c>
      <c r="E27">
        <v>-1.100000000000001E-2</v>
      </c>
      <c r="F27">
        <v>0.41899999999999998</v>
      </c>
      <c r="G27">
        <v>0.56000000000000005</v>
      </c>
      <c r="H27">
        <v>0.495</v>
      </c>
      <c r="I27">
        <v>0.79799999999999993</v>
      </c>
      <c r="J27">
        <v>0.875</v>
      </c>
      <c r="K27">
        <v>0.96700000000000008</v>
      </c>
      <c r="L27">
        <v>0.87200000000000011</v>
      </c>
      <c r="M27">
        <v>0.69799999999999995</v>
      </c>
      <c r="N27">
        <v>1.0639999999999998</v>
      </c>
      <c r="O27">
        <v>0.82200000000000006</v>
      </c>
      <c r="P27">
        <v>0.58600000000000008</v>
      </c>
      <c r="Q27">
        <v>0.82800000000000007</v>
      </c>
      <c r="R27">
        <v>0.90600000000000003</v>
      </c>
      <c r="S27">
        <v>0.64500000000000002</v>
      </c>
      <c r="T27">
        <v>0.71100000000000008</v>
      </c>
      <c r="U27" s="3">
        <v>0.05</v>
      </c>
      <c r="V27" s="3">
        <v>4.2999999999999997E-2</v>
      </c>
      <c r="W27" s="3">
        <v>9.8999999999999991E-2</v>
      </c>
      <c r="X27" s="3">
        <v>0.52200000000000002</v>
      </c>
      <c r="Y27" s="3">
        <v>0.54499999999999993</v>
      </c>
      <c r="Z27" s="3">
        <v>0.60200000000000009</v>
      </c>
      <c r="AA27" s="3">
        <v>0.85100000000000009</v>
      </c>
      <c r="AB27" s="3">
        <v>0.81400000000000006</v>
      </c>
      <c r="AC27" s="3">
        <v>0.85099999999999998</v>
      </c>
      <c r="AD27" s="3">
        <v>1.069</v>
      </c>
      <c r="AE27" s="3">
        <v>1.0009999999999999</v>
      </c>
      <c r="AF27" s="3">
        <v>0.97799999999999998</v>
      </c>
      <c r="AG27" s="3">
        <v>0.9900000000000001</v>
      </c>
      <c r="AH27" s="3">
        <v>0.96100000000000008</v>
      </c>
      <c r="AI27" s="3">
        <v>0.88600000000000001</v>
      </c>
      <c r="AJ27" s="3">
        <v>0.93099999999999994</v>
      </c>
      <c r="AK27" s="3">
        <v>0.92399999999999993</v>
      </c>
      <c r="AL27" s="3">
        <v>0.89500000000000002</v>
      </c>
      <c r="AM27" s="3">
        <v>-4.1000000000000009E-2</v>
      </c>
      <c r="AN27" s="3">
        <v>3.9999999999999994E-2</v>
      </c>
      <c r="AO27" s="3">
        <v>-0.28699999999999998</v>
      </c>
      <c r="AP27" s="3">
        <v>0.51400000000000001</v>
      </c>
      <c r="AQ27" s="3">
        <v>0.55299999999999994</v>
      </c>
      <c r="AR27" s="3">
        <v>0.52099999999999991</v>
      </c>
      <c r="AS27" s="3">
        <v>0.80800000000000005</v>
      </c>
      <c r="AT27" s="3">
        <v>0.86399999999999988</v>
      </c>
      <c r="AU27" s="3">
        <v>0.85300000000000009</v>
      </c>
      <c r="AV27">
        <v>0.95800000000000007</v>
      </c>
      <c r="AW27">
        <v>0.94799999999999995</v>
      </c>
      <c r="AX27">
        <v>0.95199999999999996</v>
      </c>
      <c r="AY27">
        <v>0.84499999999999997</v>
      </c>
      <c r="AZ27">
        <v>0.90200000000000014</v>
      </c>
      <c r="BA27">
        <v>0.89100000000000001</v>
      </c>
      <c r="BB27">
        <v>0.85200000000000009</v>
      </c>
      <c r="BC27">
        <v>0.90799999999999992</v>
      </c>
      <c r="BD27">
        <v>0.97499999999999998</v>
      </c>
    </row>
    <row r="28" spans="1:56">
      <c r="A28" t="s">
        <v>109</v>
      </c>
      <c r="B28" t="s">
        <v>110</v>
      </c>
      <c r="C28" s="1">
        <v>0</v>
      </c>
      <c r="D28">
        <v>6.0000000000000053E-3</v>
      </c>
      <c r="E28">
        <v>-1.8000000000000002E-2</v>
      </c>
      <c r="F28">
        <v>-9.9999999999999811E-3</v>
      </c>
      <c r="G28">
        <v>6.0000000000000053E-3</v>
      </c>
      <c r="H28">
        <v>3.0000000000000027E-3</v>
      </c>
      <c r="I28">
        <v>-2.300000000000002E-2</v>
      </c>
      <c r="J28">
        <v>-3.2000000000000001E-2</v>
      </c>
      <c r="K28">
        <v>-5.7999999999999996E-2</v>
      </c>
      <c r="L28">
        <v>-5.6999999999999995E-2</v>
      </c>
      <c r="M28">
        <v>-4.6999999999999986E-2</v>
      </c>
      <c r="N28">
        <v>-9.6000000000000002E-2</v>
      </c>
      <c r="O28">
        <v>-4.9000000000000016E-2</v>
      </c>
      <c r="P28">
        <v>-3.7999999999999978E-2</v>
      </c>
      <c r="Q28">
        <v>-8.3999999999999991E-2</v>
      </c>
      <c r="R28">
        <v>-1.8000000000000016E-2</v>
      </c>
      <c r="S28">
        <v>-3.7999999999999978E-2</v>
      </c>
      <c r="T28">
        <v>-7.0000000000000007E-2</v>
      </c>
      <c r="U28" s="3">
        <v>6.9999999999999923E-3</v>
      </c>
      <c r="V28" s="3">
        <v>2.8000000000000011E-2</v>
      </c>
      <c r="W28" s="3">
        <v>8.6000000000000007E-2</v>
      </c>
      <c r="X28" s="3">
        <v>-2.7999999999999997E-2</v>
      </c>
      <c r="Y28" s="3">
        <v>-1.8000000000000016E-2</v>
      </c>
      <c r="Z28" s="3">
        <v>3.3000000000000002E-2</v>
      </c>
      <c r="AA28" s="3">
        <v>-3.3000000000000002E-2</v>
      </c>
      <c r="AB28" s="3">
        <v>-1.4999999999999986E-2</v>
      </c>
      <c r="AC28" s="3">
        <v>-3.1E-2</v>
      </c>
      <c r="AD28" s="3">
        <v>-4.300000000000001E-2</v>
      </c>
      <c r="AE28" s="3">
        <v>-2.3999999999999994E-2</v>
      </c>
      <c r="AF28" s="3">
        <v>-1.5999999999999986E-2</v>
      </c>
      <c r="AG28" s="3">
        <v>-4.300000000000001E-2</v>
      </c>
      <c r="AH28" s="3">
        <v>-3.2000000000000001E-2</v>
      </c>
      <c r="AI28" s="3">
        <v>-4.8000000000000015E-2</v>
      </c>
      <c r="AJ28" s="3">
        <v>-3.6000000000000004E-2</v>
      </c>
      <c r="AK28" s="3">
        <v>-1.2000000000000011E-2</v>
      </c>
      <c r="AL28" s="3">
        <v>-1.2000000000000011E-2</v>
      </c>
      <c r="AM28" s="3">
        <v>-2.7999999999999997E-2</v>
      </c>
      <c r="AN28" s="3">
        <v>-3.9999999999999897E-3</v>
      </c>
      <c r="AO28" s="3">
        <v>-0.28799999999999998</v>
      </c>
      <c r="AP28" s="3">
        <v>-3.3000000000000002E-2</v>
      </c>
      <c r="AQ28" s="3">
        <v>1.0000000000000009E-3</v>
      </c>
      <c r="AR28" s="3">
        <v>3.4000000000000002E-2</v>
      </c>
      <c r="AS28" s="3">
        <v>-3.999999999999998E-2</v>
      </c>
      <c r="AT28" s="3">
        <v>-3.7000000000000005E-2</v>
      </c>
      <c r="AU28" s="3">
        <v>-2.5999999999999995E-2</v>
      </c>
      <c r="AV28">
        <v>-4.300000000000001E-2</v>
      </c>
      <c r="AW28">
        <v>-3.9000000000000007E-2</v>
      </c>
      <c r="AX28">
        <v>-2.8000000000000025E-2</v>
      </c>
      <c r="AY28">
        <v>-4.0000000000000008E-2</v>
      </c>
      <c r="AZ28">
        <v>-3.5999999999999976E-2</v>
      </c>
      <c r="BA28">
        <v>-3.4000000000000002E-2</v>
      </c>
      <c r="BB28">
        <v>-3.5000000000000003E-2</v>
      </c>
      <c r="BC28">
        <v>-3.1000000000000028E-2</v>
      </c>
      <c r="BD28">
        <v>2.0000000000000018E-3</v>
      </c>
    </row>
    <row r="29" spans="1:56">
      <c r="A29" t="s">
        <v>111</v>
      </c>
      <c r="B29" t="s">
        <v>112</v>
      </c>
      <c r="C29" s="1">
        <v>1.5000000000000013E-2</v>
      </c>
      <c r="D29">
        <v>-1.1999999999999997E-2</v>
      </c>
      <c r="E29">
        <v>-2.9000000000000012E-2</v>
      </c>
      <c r="F29">
        <v>1.5000000000000013E-2</v>
      </c>
      <c r="G29">
        <v>0.06</v>
      </c>
      <c r="H29">
        <v>6.4000000000000001E-2</v>
      </c>
      <c r="I29">
        <v>2.1999999999999992E-2</v>
      </c>
      <c r="J29">
        <v>6.5999999999999975E-2</v>
      </c>
      <c r="K29">
        <v>3.6000000000000004E-2</v>
      </c>
      <c r="L29">
        <v>0</v>
      </c>
      <c r="M29">
        <v>4.6000000000000013E-2</v>
      </c>
      <c r="N29">
        <v>-1.9000000000000017E-2</v>
      </c>
      <c r="O29">
        <v>-6.0000000000000053E-3</v>
      </c>
      <c r="P29">
        <v>5.2000000000000018E-2</v>
      </c>
      <c r="Q29">
        <v>-8.0000000000000071E-3</v>
      </c>
      <c r="R29">
        <v>1.6999999999999987E-2</v>
      </c>
      <c r="S29">
        <v>4.6000000000000013E-2</v>
      </c>
      <c r="T29">
        <v>9.9999999999997313E-4</v>
      </c>
      <c r="U29" s="3">
        <v>-1.2999999999999998E-2</v>
      </c>
      <c r="V29" s="3">
        <v>2.0000000000000018E-3</v>
      </c>
      <c r="W29" s="3">
        <v>5.800000000000001E-2</v>
      </c>
      <c r="X29" s="3">
        <v>-1.0000000000000009E-2</v>
      </c>
      <c r="Y29" s="3">
        <v>2.2999999999999993E-2</v>
      </c>
      <c r="Z29" s="3">
        <v>7.6999999999999985E-2</v>
      </c>
      <c r="AA29" s="3">
        <v>1.5000000000000013E-2</v>
      </c>
      <c r="AB29" s="3">
        <v>5.3000000000000019E-2</v>
      </c>
      <c r="AC29" s="3">
        <v>4.9000000000000016E-2</v>
      </c>
      <c r="AD29" s="3">
        <v>9.000000000000008E-3</v>
      </c>
      <c r="AE29" s="3">
        <v>5.7000000000000023E-2</v>
      </c>
      <c r="AF29" s="3">
        <v>7.8999999999999987E-2</v>
      </c>
      <c r="AG29" s="3">
        <v>4.0000000000000036E-3</v>
      </c>
      <c r="AH29" s="3">
        <v>4.300000000000001E-2</v>
      </c>
      <c r="AI29" s="3">
        <v>5.0000000000000017E-2</v>
      </c>
      <c r="AJ29" s="3">
        <v>5.0000000000000044E-3</v>
      </c>
      <c r="AK29" s="3">
        <v>6.6000000000000003E-2</v>
      </c>
      <c r="AL29" s="3">
        <v>7.8999999999999987E-2</v>
      </c>
      <c r="AM29" s="3">
        <v>-3.5000000000000003E-2</v>
      </c>
      <c r="AN29" s="3">
        <v>-2.9999999999999888E-3</v>
      </c>
      <c r="AO29" s="3">
        <v>-0.32199999999999995</v>
      </c>
      <c r="AP29" s="3">
        <v>-1.0000000000000009E-2</v>
      </c>
      <c r="AQ29" s="3">
        <v>-3.0000000000000027E-3</v>
      </c>
      <c r="AR29" s="3">
        <v>2.6999999999999996E-2</v>
      </c>
      <c r="AS29" s="3">
        <v>3.3000000000000002E-2</v>
      </c>
      <c r="AT29" s="3">
        <v>1.0999999999999982E-2</v>
      </c>
      <c r="AU29" s="3">
        <v>8.0000000000000071E-3</v>
      </c>
      <c r="AV29">
        <v>2.8999999999999998E-2</v>
      </c>
      <c r="AW29">
        <v>7.9999999999999793E-3</v>
      </c>
      <c r="AX29">
        <v>1.7999999999999988E-2</v>
      </c>
      <c r="AY29">
        <v>1.999999999999999E-2</v>
      </c>
      <c r="AZ29">
        <v>8.0000000000000071E-3</v>
      </c>
      <c r="BA29">
        <v>-2.0000000000000018E-3</v>
      </c>
      <c r="BB29">
        <v>2.1999999999999992E-2</v>
      </c>
      <c r="BC29">
        <v>-3.0000000000000027E-3</v>
      </c>
      <c r="BD29">
        <v>5.0000000000000017E-2</v>
      </c>
    </row>
    <row r="30" spans="1:56">
      <c r="A30" t="s">
        <v>113</v>
      </c>
      <c r="B30" t="s">
        <v>114</v>
      </c>
      <c r="C30" s="1">
        <v>-3.0000000000000027E-3</v>
      </c>
      <c r="D30">
        <v>2.5999999999999995E-2</v>
      </c>
      <c r="E30">
        <v>-1.9000000000000003E-2</v>
      </c>
      <c r="F30">
        <v>5.1000000000000018E-2</v>
      </c>
      <c r="G30">
        <v>0.13600000000000001</v>
      </c>
      <c r="H30">
        <v>0.13399999999999998</v>
      </c>
      <c r="I30">
        <v>3.2000000000000001E-2</v>
      </c>
      <c r="J30">
        <v>0.12099999999999997</v>
      </c>
      <c r="K30">
        <v>7.3000000000000009E-2</v>
      </c>
      <c r="L30">
        <v>6.0000000000000053E-3</v>
      </c>
      <c r="M30">
        <v>9.3000000000000027E-2</v>
      </c>
      <c r="N30">
        <v>3.2000000000000001E-2</v>
      </c>
      <c r="O30">
        <v>1.0000000000000009E-3</v>
      </c>
      <c r="P30">
        <v>9.8000000000000032E-2</v>
      </c>
      <c r="Q30">
        <v>4.200000000000001E-2</v>
      </c>
      <c r="R30">
        <v>2.6999999999999996E-2</v>
      </c>
      <c r="S30">
        <v>9.4000000000000028E-2</v>
      </c>
      <c r="T30">
        <v>5.2999999999999992E-2</v>
      </c>
      <c r="U30" s="3">
        <v>2.0000000000000018E-3</v>
      </c>
      <c r="V30" s="3">
        <v>1.3999999999999999E-2</v>
      </c>
      <c r="W30" s="3">
        <v>7.6999999999999999E-2</v>
      </c>
      <c r="X30" s="3">
        <v>9.3999999999999972E-2</v>
      </c>
      <c r="Y30" s="3">
        <v>0.10799999999999998</v>
      </c>
      <c r="Z30" s="3">
        <v>0.155</v>
      </c>
      <c r="AA30" s="3">
        <v>9.0999999999999998E-2</v>
      </c>
      <c r="AB30" s="3">
        <v>0.10800000000000001</v>
      </c>
      <c r="AC30" s="3">
        <v>0.12300000000000003</v>
      </c>
      <c r="AD30" s="3">
        <v>8.7999999999999995E-2</v>
      </c>
      <c r="AE30" s="3">
        <v>0.11300000000000002</v>
      </c>
      <c r="AF30" s="3">
        <v>0.14099999999999999</v>
      </c>
      <c r="AG30" s="3">
        <v>8.299999999999999E-2</v>
      </c>
      <c r="AH30" s="3">
        <v>0.10200000000000001</v>
      </c>
      <c r="AI30" s="3">
        <v>0.10900000000000001</v>
      </c>
      <c r="AJ30" s="3">
        <v>8.7999999999999995E-2</v>
      </c>
      <c r="AK30" s="3">
        <v>0.121</v>
      </c>
      <c r="AL30" s="3">
        <v>0.13299999999999998</v>
      </c>
      <c r="AM30" s="3">
        <v>-3.8000000000000006E-2</v>
      </c>
      <c r="AN30" s="3">
        <v>8.0000000000000071E-3</v>
      </c>
      <c r="AO30" s="3">
        <v>-0.27500000000000002</v>
      </c>
      <c r="AP30" s="3">
        <v>5.7000000000000023E-2</v>
      </c>
      <c r="AQ30" s="3">
        <v>6.2E-2</v>
      </c>
      <c r="AR30" s="3">
        <v>0.13700000000000001</v>
      </c>
      <c r="AS30" s="3">
        <v>6.3000000000000028E-2</v>
      </c>
      <c r="AT30" s="3">
        <v>5.099999999999999E-2</v>
      </c>
      <c r="AU30" s="3">
        <v>7.8999999999999987E-2</v>
      </c>
      <c r="AV30">
        <v>6.3000000000000028E-2</v>
      </c>
      <c r="AW30">
        <v>5.1999999999999991E-2</v>
      </c>
      <c r="AX30">
        <v>8.2999999999999963E-2</v>
      </c>
      <c r="AY30">
        <v>5.8000000000000024E-2</v>
      </c>
      <c r="AZ30">
        <v>4.5000000000000012E-2</v>
      </c>
      <c r="BA30">
        <v>6.6000000000000031E-2</v>
      </c>
      <c r="BB30">
        <v>5.6000000000000022E-2</v>
      </c>
      <c r="BC30">
        <v>4.7999999999999987E-2</v>
      </c>
      <c r="BD30">
        <v>0.10200000000000001</v>
      </c>
    </row>
    <row r="31" spans="1:56">
      <c r="A31" t="s">
        <v>115</v>
      </c>
      <c r="B31" t="s">
        <v>116</v>
      </c>
      <c r="C31" s="1">
        <v>-1.0999999999999996E-2</v>
      </c>
      <c r="D31">
        <v>3.2000000000000001E-2</v>
      </c>
      <c r="E31">
        <v>-1.3000000000000012E-2</v>
      </c>
      <c r="F31">
        <v>1.8000000000000016E-2</v>
      </c>
      <c r="G31">
        <v>0.10200000000000004</v>
      </c>
      <c r="H31">
        <v>9.6000000000000002E-2</v>
      </c>
      <c r="I31">
        <v>5.9999999999999776E-3</v>
      </c>
      <c r="J31">
        <v>8.0999999999999989E-2</v>
      </c>
      <c r="K31">
        <v>3.7000000000000005E-2</v>
      </c>
      <c r="L31">
        <v>5.8999999999999997E-2</v>
      </c>
      <c r="M31">
        <v>7.2000000000000008E-2</v>
      </c>
      <c r="N31">
        <v>7.0000000000000062E-3</v>
      </c>
      <c r="O31">
        <v>0</v>
      </c>
      <c r="P31">
        <v>8.3000000000000018E-2</v>
      </c>
      <c r="Q31">
        <v>2.1999999999999992E-2</v>
      </c>
      <c r="R31">
        <v>6.3E-2</v>
      </c>
      <c r="S31">
        <v>7.9000000000000015E-2</v>
      </c>
      <c r="T31">
        <v>4.1999999999999982E-2</v>
      </c>
      <c r="U31" s="3">
        <v>1.3999999999999999E-2</v>
      </c>
      <c r="V31" s="3">
        <v>2.9000000000000012E-2</v>
      </c>
      <c r="W31" s="3">
        <v>8.1000000000000003E-2</v>
      </c>
      <c r="X31" s="3">
        <v>8.2000000000000017E-2</v>
      </c>
      <c r="Y31" s="3">
        <v>8.7999999999999967E-2</v>
      </c>
      <c r="Z31" s="3">
        <v>0.12800000000000003</v>
      </c>
      <c r="AA31" s="3">
        <v>8.4999999999999992E-2</v>
      </c>
      <c r="AB31" s="3">
        <v>8.6999999999999994E-2</v>
      </c>
      <c r="AC31" s="3">
        <v>9.0999999999999998E-2</v>
      </c>
      <c r="AD31" s="3">
        <v>7.4999999999999983E-2</v>
      </c>
      <c r="AE31" s="3">
        <v>0.09</v>
      </c>
      <c r="AF31" s="3">
        <v>0.11200000000000002</v>
      </c>
      <c r="AG31" s="3">
        <v>6.9999999999999979E-2</v>
      </c>
      <c r="AH31" s="3">
        <v>7.7999999999999986E-2</v>
      </c>
      <c r="AI31" s="3">
        <v>7.8999999999999987E-2</v>
      </c>
      <c r="AJ31" s="3">
        <v>7.3999999999999982E-2</v>
      </c>
      <c r="AK31" s="3">
        <v>9.5999999999999974E-2</v>
      </c>
      <c r="AL31" s="3">
        <v>0.10400000000000001</v>
      </c>
      <c r="AM31" s="3">
        <v>-4.3999999999999997E-2</v>
      </c>
      <c r="AN31" s="3">
        <v>1.3000000000000012E-2</v>
      </c>
      <c r="AO31" s="3">
        <v>-0.28899999999999998</v>
      </c>
      <c r="AP31" s="3">
        <v>8.0000000000000071E-3</v>
      </c>
      <c r="AQ31" s="3">
        <v>5.2999999999999992E-2</v>
      </c>
      <c r="AR31" s="3">
        <v>0.13100000000000001</v>
      </c>
      <c r="AS31" s="3">
        <v>1.9000000000000017E-2</v>
      </c>
      <c r="AT31" s="3">
        <v>5.2999999999999992E-2</v>
      </c>
      <c r="AU31" s="3">
        <v>8.199999999999999E-2</v>
      </c>
      <c r="AV31">
        <v>1.7000000000000015E-2</v>
      </c>
      <c r="AW31">
        <v>4.9999999999999989E-2</v>
      </c>
      <c r="AX31">
        <v>8.3999999999999964E-2</v>
      </c>
      <c r="AY31">
        <v>1.0000000000000009E-2</v>
      </c>
      <c r="AZ31">
        <v>4.0000000000000008E-2</v>
      </c>
      <c r="BA31">
        <v>7.3000000000000037E-2</v>
      </c>
      <c r="BB31">
        <v>1.0000000000000009E-2</v>
      </c>
      <c r="BC31">
        <v>3.6999999999999977E-2</v>
      </c>
      <c r="BD31">
        <v>9.6000000000000002E-2</v>
      </c>
    </row>
    <row r="32" spans="1:56">
      <c r="A32" t="s">
        <v>117</v>
      </c>
      <c r="B32" t="s">
        <v>118</v>
      </c>
      <c r="C32" s="1">
        <v>-2.0000000000000004E-2</v>
      </c>
      <c r="D32">
        <v>3.2000000000000001E-2</v>
      </c>
      <c r="E32">
        <v>-2.8000000000000011E-2</v>
      </c>
      <c r="F32">
        <v>0.23899999999999999</v>
      </c>
      <c r="G32">
        <v>0.35900000000000004</v>
      </c>
      <c r="H32">
        <v>0.28500000000000003</v>
      </c>
      <c r="I32">
        <v>0.53199999999999992</v>
      </c>
      <c r="J32">
        <v>0.51600000000000001</v>
      </c>
      <c r="K32">
        <v>0.439</v>
      </c>
      <c r="L32">
        <v>0.59499999999999997</v>
      </c>
      <c r="M32">
        <v>0.56299999999999994</v>
      </c>
      <c r="N32">
        <v>0.49199999999999999</v>
      </c>
      <c r="O32">
        <v>0.72399999999999998</v>
      </c>
      <c r="P32">
        <v>0.63100000000000001</v>
      </c>
      <c r="Q32">
        <v>0.59000000000000008</v>
      </c>
      <c r="R32">
        <v>0.78199999999999992</v>
      </c>
      <c r="S32">
        <v>0.71</v>
      </c>
      <c r="T32">
        <v>0.72799999999999998</v>
      </c>
      <c r="U32" s="3">
        <v>1.7000000000000001E-2</v>
      </c>
      <c r="V32" s="3">
        <v>4.9000000000000002E-2</v>
      </c>
      <c r="W32" s="3">
        <v>8.5000000000000006E-2</v>
      </c>
      <c r="X32" s="3">
        <v>0.21499999999999997</v>
      </c>
      <c r="Y32" s="3">
        <v>0.24099999999999999</v>
      </c>
      <c r="Z32" s="3">
        <v>0.32000000000000006</v>
      </c>
      <c r="AA32" s="3">
        <v>0.45200000000000007</v>
      </c>
      <c r="AB32" s="3">
        <v>0.54600000000000004</v>
      </c>
      <c r="AC32" s="3">
        <v>0.50800000000000001</v>
      </c>
      <c r="AD32" s="3">
        <v>0.59000000000000008</v>
      </c>
      <c r="AE32" s="3">
        <v>0.69700000000000006</v>
      </c>
      <c r="AF32" s="3">
        <v>0.59400000000000008</v>
      </c>
      <c r="AG32" s="3">
        <v>0.77100000000000002</v>
      </c>
      <c r="AH32" s="3">
        <v>0.77900000000000003</v>
      </c>
      <c r="AI32" s="3">
        <v>0.73</v>
      </c>
      <c r="AJ32" s="3">
        <v>0.89</v>
      </c>
      <c r="AK32" s="3">
        <v>0.88100000000000001</v>
      </c>
      <c r="AL32" s="3">
        <v>0.79400000000000004</v>
      </c>
      <c r="AM32" s="3">
        <v>-0.03</v>
      </c>
      <c r="AN32" s="3">
        <v>1.4999999999999999E-2</v>
      </c>
      <c r="AO32" s="3">
        <v>-0.26600000000000001</v>
      </c>
      <c r="AP32" s="3">
        <v>0.14199999999999999</v>
      </c>
      <c r="AQ32" s="3">
        <v>0.24399999999999999</v>
      </c>
      <c r="AR32" s="3">
        <v>0.26900000000000002</v>
      </c>
      <c r="AS32" s="3">
        <v>0.42200000000000004</v>
      </c>
      <c r="AT32" s="3">
        <v>0.49299999999999994</v>
      </c>
      <c r="AU32" s="3">
        <v>0.52700000000000002</v>
      </c>
      <c r="AV32">
        <v>0.53</v>
      </c>
      <c r="AW32">
        <v>0.63300000000000001</v>
      </c>
      <c r="AX32">
        <v>0.66599999999999993</v>
      </c>
      <c r="AY32">
        <v>0.70400000000000007</v>
      </c>
      <c r="AZ32">
        <v>0.76300000000000001</v>
      </c>
      <c r="BA32">
        <v>0.79699999999999993</v>
      </c>
      <c r="BB32">
        <v>0.83600000000000008</v>
      </c>
      <c r="BC32">
        <v>0.85099999999999998</v>
      </c>
      <c r="BD32">
        <v>0.93099999999999994</v>
      </c>
    </row>
    <row r="33" spans="1:56">
      <c r="A33" t="s">
        <v>119</v>
      </c>
      <c r="B33" t="s">
        <v>120</v>
      </c>
      <c r="C33" s="1">
        <v>-2.3999999999999994E-2</v>
      </c>
      <c r="D33">
        <v>-9.999999999999995E-3</v>
      </c>
      <c r="E33">
        <v>-3.1000000000000014E-2</v>
      </c>
      <c r="F33">
        <v>0.54499999999999993</v>
      </c>
      <c r="G33">
        <v>0.63500000000000001</v>
      </c>
      <c r="H33">
        <v>0.58599999999999997</v>
      </c>
      <c r="I33">
        <v>1.018</v>
      </c>
      <c r="J33">
        <v>1.0229999999999999</v>
      </c>
      <c r="K33">
        <v>1.008</v>
      </c>
      <c r="L33">
        <v>1.23</v>
      </c>
      <c r="M33">
        <v>1.2310000000000001</v>
      </c>
      <c r="N33">
        <v>1.1629999999999998</v>
      </c>
      <c r="O33">
        <v>1.353</v>
      </c>
      <c r="P33">
        <v>1.482</v>
      </c>
      <c r="Q33">
        <v>1.3120000000000001</v>
      </c>
      <c r="R33">
        <v>1.4600000000000002</v>
      </c>
      <c r="S33">
        <v>1.649</v>
      </c>
      <c r="T33">
        <v>1.502</v>
      </c>
      <c r="U33" s="3">
        <v>-9.000000000000008E-3</v>
      </c>
      <c r="V33" s="3">
        <v>-4.0000000000000036E-3</v>
      </c>
      <c r="W33" s="3">
        <v>3.599999999999999E-2</v>
      </c>
      <c r="X33" s="3">
        <v>0.65900000000000003</v>
      </c>
      <c r="Y33" s="3">
        <v>0.69100000000000006</v>
      </c>
      <c r="Z33" s="3">
        <v>0.67300000000000004</v>
      </c>
      <c r="AA33" s="3">
        <v>1.127</v>
      </c>
      <c r="AB33" s="3">
        <v>1.127</v>
      </c>
      <c r="AC33" s="3">
        <v>1.073</v>
      </c>
      <c r="AD33" s="3">
        <v>1.2969999999999999</v>
      </c>
      <c r="AE33" s="3">
        <v>1.3159999999999998</v>
      </c>
      <c r="AF33" s="3">
        <v>1.288</v>
      </c>
      <c r="AG33" s="3">
        <v>1.3859999999999999</v>
      </c>
      <c r="AH33" s="3">
        <v>1.407</v>
      </c>
      <c r="AI33" s="3">
        <v>1.3619999999999999</v>
      </c>
      <c r="AJ33" s="3">
        <v>1.4069999999999998</v>
      </c>
      <c r="AK33" s="3">
        <v>1.456</v>
      </c>
      <c r="AL33" s="3">
        <v>1.395</v>
      </c>
      <c r="AM33" s="3">
        <v>-3.2000000000000001E-2</v>
      </c>
      <c r="AN33" s="3">
        <v>-2.9999999999999888E-3</v>
      </c>
      <c r="AO33" s="3">
        <v>-0.35</v>
      </c>
      <c r="AP33" s="3">
        <v>0.66</v>
      </c>
      <c r="AQ33" s="3">
        <v>0.65199999999999991</v>
      </c>
      <c r="AR33" s="3">
        <v>0.64799999999999991</v>
      </c>
      <c r="AS33" s="3">
        <v>1.073</v>
      </c>
      <c r="AT33" s="3">
        <v>1.115</v>
      </c>
      <c r="AU33" s="3">
        <v>1.0269999999999999</v>
      </c>
      <c r="AV33">
        <v>1.252</v>
      </c>
      <c r="AW33">
        <v>1.2969999999999999</v>
      </c>
      <c r="AX33">
        <v>1.226</v>
      </c>
      <c r="AY33">
        <v>1.359</v>
      </c>
      <c r="AZ33">
        <v>1.3580000000000001</v>
      </c>
      <c r="BA33">
        <v>1.3680000000000001</v>
      </c>
      <c r="BB33">
        <v>1.4119999999999999</v>
      </c>
      <c r="BC33">
        <v>1.4139999999999999</v>
      </c>
      <c r="BD33">
        <v>1.4269999999999998</v>
      </c>
    </row>
    <row r="34" spans="1:56">
      <c r="A34" t="s">
        <v>121</v>
      </c>
      <c r="B34" t="s">
        <v>122</v>
      </c>
      <c r="C34" s="1">
        <v>0.122</v>
      </c>
      <c r="D34">
        <v>0.14400000000000002</v>
      </c>
      <c r="E34">
        <v>0.13500000000000001</v>
      </c>
      <c r="F34">
        <v>-0.03</v>
      </c>
      <c r="G34">
        <v>-4.1999999999999982E-2</v>
      </c>
      <c r="H34">
        <v>-2.8999999999999998E-2</v>
      </c>
      <c r="I34">
        <v>-6.2000000000000013E-2</v>
      </c>
      <c r="J34">
        <v>-6.4000000000000015E-2</v>
      </c>
      <c r="K34">
        <v>-8.8000000000000009E-2</v>
      </c>
      <c r="L34">
        <v>-8.2000000000000003E-2</v>
      </c>
      <c r="M34">
        <v>-7.1999999999999995E-2</v>
      </c>
      <c r="N34">
        <v>-0.11600000000000001</v>
      </c>
      <c r="O34">
        <v>-7.9000000000000001E-2</v>
      </c>
      <c r="P34">
        <v>-5.4999999999999993E-2</v>
      </c>
      <c r="Q34">
        <v>-9.8999999999999991E-2</v>
      </c>
      <c r="R34">
        <v>-4.300000000000001E-2</v>
      </c>
      <c r="S34">
        <v>-4.2999999999999983E-2</v>
      </c>
      <c r="T34">
        <v>-7.9000000000000015E-2</v>
      </c>
      <c r="U34" s="3">
        <v>0.14000000000000001</v>
      </c>
      <c r="V34" s="3">
        <v>0.128</v>
      </c>
      <c r="W34" s="3">
        <v>0.15300000000000002</v>
      </c>
      <c r="X34" s="3">
        <v>-6.5000000000000002E-2</v>
      </c>
      <c r="Y34" s="3">
        <v>-7.0000000000000007E-2</v>
      </c>
      <c r="Z34" s="3">
        <v>-1.8999999999999989E-2</v>
      </c>
      <c r="AA34" s="3">
        <v>-9.8999999999999991E-2</v>
      </c>
      <c r="AB34" s="3">
        <v>-8.6999999999999994E-2</v>
      </c>
      <c r="AC34" s="3">
        <v>-9.8999999999999991E-2</v>
      </c>
      <c r="AD34" s="3">
        <v>-0.10299999999999999</v>
      </c>
      <c r="AE34" s="3">
        <v>-7.9999999999999988E-2</v>
      </c>
      <c r="AF34" s="3">
        <v>-6.7999999999999977E-2</v>
      </c>
      <c r="AG34" s="3">
        <v>9.5000000000000001E-2</v>
      </c>
      <c r="AH34" s="3">
        <v>-7.7999999999999986E-2</v>
      </c>
      <c r="AI34" s="3">
        <v>-0.09</v>
      </c>
      <c r="AJ34" s="3">
        <v>0.23400000000000001</v>
      </c>
      <c r="AK34" s="3">
        <v>-2.200000000000002E-2</v>
      </c>
      <c r="AL34" s="3">
        <v>-4.9000000000000016E-2</v>
      </c>
      <c r="AM34" s="3">
        <v>9.6000000000000002E-2</v>
      </c>
      <c r="AN34" s="3">
        <v>0.12200000000000001</v>
      </c>
      <c r="AO34" s="3">
        <v>-0.22299999999999998</v>
      </c>
      <c r="AP34" s="3">
        <v>-6.9000000000000006E-2</v>
      </c>
      <c r="AQ34" s="3">
        <v>-5.4999999999999993E-2</v>
      </c>
      <c r="AR34" s="3">
        <v>1.4999999999999986E-2</v>
      </c>
      <c r="AS34" s="3">
        <v>-9.4999999999999987E-2</v>
      </c>
      <c r="AT34" s="3">
        <v>-8.7000000000000008E-2</v>
      </c>
      <c r="AU34" s="3">
        <v>-9.1999999999999985E-2</v>
      </c>
      <c r="AV34">
        <v>-9.9000000000000005E-2</v>
      </c>
      <c r="AW34">
        <v>-8.7000000000000008E-2</v>
      </c>
      <c r="AX34">
        <v>-8.5000000000000006E-2</v>
      </c>
      <c r="AY34">
        <v>-9.6000000000000002E-2</v>
      </c>
      <c r="AZ34">
        <v>-8.7999999999999995E-2</v>
      </c>
      <c r="BA34">
        <v>-0.09</v>
      </c>
      <c r="BB34">
        <v>-7.7999999999999986E-2</v>
      </c>
      <c r="BC34">
        <v>-7.3000000000000009E-2</v>
      </c>
      <c r="BD34">
        <v>-7.7999999999999986E-2</v>
      </c>
    </row>
    <row r="35" spans="1:56">
      <c r="A35" t="s">
        <v>123</v>
      </c>
      <c r="B35" t="s">
        <v>124</v>
      </c>
      <c r="C35" s="1">
        <v>-2.6999999999999996E-2</v>
      </c>
      <c r="D35">
        <v>-1.3999999999999999E-2</v>
      </c>
      <c r="E35">
        <v>-3.6000000000000004E-2</v>
      </c>
      <c r="F35">
        <v>0.65199999999999991</v>
      </c>
      <c r="G35">
        <v>0.90500000000000003</v>
      </c>
      <c r="H35">
        <v>0.83399999999999985</v>
      </c>
      <c r="I35">
        <v>1.1639999999999999</v>
      </c>
      <c r="J35">
        <v>1.3399999999999999</v>
      </c>
      <c r="K35">
        <v>1.1819999999999999</v>
      </c>
      <c r="L35">
        <v>1.4240000000000002</v>
      </c>
      <c r="M35">
        <v>1.482</v>
      </c>
      <c r="N35">
        <v>1.39</v>
      </c>
      <c r="O35">
        <v>1.375</v>
      </c>
      <c r="P35">
        <v>1.47</v>
      </c>
      <c r="Q35">
        <v>1.413</v>
      </c>
      <c r="R35">
        <v>1.3440000000000001</v>
      </c>
      <c r="S35">
        <v>1.403</v>
      </c>
      <c r="T35">
        <v>1.369</v>
      </c>
      <c r="U35" s="3">
        <v>-9.999999999999995E-3</v>
      </c>
      <c r="V35" s="3">
        <v>-4.0000000000000036E-3</v>
      </c>
      <c r="W35" s="3">
        <v>-7.0000000000000062E-3</v>
      </c>
      <c r="X35" s="3">
        <v>0.72199999999999998</v>
      </c>
      <c r="Y35" s="3">
        <v>0.72900000000000009</v>
      </c>
      <c r="Z35" s="3">
        <v>0.70600000000000007</v>
      </c>
      <c r="AA35" s="3">
        <v>0.96600000000000008</v>
      </c>
      <c r="AB35" s="3">
        <v>0.99399999999999999</v>
      </c>
      <c r="AC35" s="3">
        <v>0.95900000000000007</v>
      </c>
      <c r="AD35" s="3">
        <v>1.129</v>
      </c>
      <c r="AE35" s="3">
        <v>1.1559999999999999</v>
      </c>
      <c r="AF35" s="3">
        <v>1.125</v>
      </c>
      <c r="AG35" s="3">
        <v>1.2949999999999999</v>
      </c>
      <c r="AH35" s="3">
        <v>1.2869999999999999</v>
      </c>
      <c r="AI35" s="3">
        <v>1.2669999999999999</v>
      </c>
      <c r="AJ35" s="3">
        <v>1.4369999999999998</v>
      </c>
      <c r="AK35" s="3">
        <v>1.4650000000000001</v>
      </c>
      <c r="AL35" s="3">
        <v>1.405</v>
      </c>
      <c r="AM35" s="3">
        <v>-5.7999999999999996E-2</v>
      </c>
      <c r="AN35" s="3">
        <v>-2.9999999999999888E-3</v>
      </c>
      <c r="AO35" s="3">
        <v>-0.39</v>
      </c>
      <c r="AP35" s="3">
        <v>0.58700000000000008</v>
      </c>
      <c r="AQ35" s="3">
        <v>0.73599999999999999</v>
      </c>
      <c r="AR35" s="3">
        <v>0.46400000000000002</v>
      </c>
      <c r="AS35" s="3">
        <v>0.82699999999999996</v>
      </c>
      <c r="AT35" s="3">
        <v>0.89700000000000002</v>
      </c>
      <c r="AU35" s="3">
        <v>0.84900000000000009</v>
      </c>
      <c r="AV35">
        <v>0.98899999999999999</v>
      </c>
      <c r="AW35">
        <v>1.095</v>
      </c>
      <c r="AX35">
        <v>1.028</v>
      </c>
      <c r="AY35">
        <v>1.171</v>
      </c>
      <c r="AZ35">
        <v>1.274</v>
      </c>
      <c r="BA35">
        <v>1.222</v>
      </c>
      <c r="BB35">
        <v>1.351</v>
      </c>
      <c r="BC35">
        <v>1.415</v>
      </c>
      <c r="BD35">
        <v>1.367</v>
      </c>
    </row>
    <row r="36" spans="1:56">
      <c r="A36" t="s">
        <v>125</v>
      </c>
      <c r="B36" t="s">
        <v>126</v>
      </c>
      <c r="C36" s="1">
        <v>-2.0000000000000004E-2</v>
      </c>
      <c r="D36">
        <v>8.0000000000000071E-3</v>
      </c>
      <c r="E36">
        <v>-1.4000000000000012E-2</v>
      </c>
      <c r="F36">
        <v>1.100000000000001E-2</v>
      </c>
      <c r="G36">
        <v>7.400000000000001E-2</v>
      </c>
      <c r="H36">
        <v>4.0999999999999981E-2</v>
      </c>
      <c r="I36">
        <v>-1.2000000000000011E-2</v>
      </c>
      <c r="J36">
        <v>4.9999999999999989E-2</v>
      </c>
      <c r="K36">
        <v>-1.8000000000000016E-2</v>
      </c>
      <c r="L36">
        <v>1.2000000000000011E-2</v>
      </c>
      <c r="M36">
        <v>4.200000000000001E-2</v>
      </c>
      <c r="N36">
        <v>-3.2000000000000001E-2</v>
      </c>
      <c r="O36">
        <v>-1.3000000000000012E-2</v>
      </c>
      <c r="P36">
        <v>5.9000000000000025E-2</v>
      </c>
      <c r="Q36">
        <v>-9.000000000000008E-3</v>
      </c>
      <c r="R36">
        <v>1.8999999999999989E-2</v>
      </c>
      <c r="S36">
        <v>4.300000000000001E-2</v>
      </c>
      <c r="T36">
        <v>1.0999999999999982E-2</v>
      </c>
      <c r="U36" s="3">
        <v>2.8000000000000011E-2</v>
      </c>
      <c r="V36" s="3">
        <v>2.9000000000000012E-2</v>
      </c>
      <c r="W36" s="3">
        <v>3.7999999999999992E-2</v>
      </c>
      <c r="X36" s="3">
        <v>6.4000000000000001E-2</v>
      </c>
      <c r="Y36" s="3">
        <v>1.2999999999999984E-2</v>
      </c>
      <c r="Z36" s="3">
        <v>1.9000000000000017E-2</v>
      </c>
      <c r="AA36" s="3">
        <v>8.5999999999999993E-2</v>
      </c>
      <c r="AB36" s="3">
        <v>1.5000000000000013E-2</v>
      </c>
      <c r="AC36" s="3">
        <v>1.9000000000000017E-2</v>
      </c>
      <c r="AD36" s="3">
        <v>7.6999999999999985E-2</v>
      </c>
      <c r="AE36" s="3">
        <v>1.9000000000000017E-2</v>
      </c>
      <c r="AF36" s="3">
        <v>2.5000000000000022E-2</v>
      </c>
      <c r="AG36" s="3">
        <v>7.3999999999999982E-2</v>
      </c>
      <c r="AH36" s="3">
        <v>1.2000000000000011E-2</v>
      </c>
      <c r="AI36" s="3">
        <v>1.5999999999999986E-2</v>
      </c>
      <c r="AJ36" s="3">
        <v>7.1999999999999981E-2</v>
      </c>
      <c r="AK36" s="3">
        <v>2.6999999999999996E-2</v>
      </c>
      <c r="AL36" s="3">
        <v>2.4999999999999994E-2</v>
      </c>
      <c r="AM36" s="3">
        <v>-4.3999999999999997E-2</v>
      </c>
      <c r="AN36" s="3">
        <v>2.0000000000000018E-3</v>
      </c>
      <c r="AO36" s="3">
        <v>-0.374</v>
      </c>
      <c r="AP36" s="3">
        <v>-2.0000000000000018E-3</v>
      </c>
      <c r="AQ36" s="3">
        <v>1.7000000000000015E-2</v>
      </c>
      <c r="AR36" s="3">
        <v>4.8999999999999988E-2</v>
      </c>
      <c r="AS36" s="3">
        <v>7.0000000000000062E-3</v>
      </c>
      <c r="AT36" s="3">
        <v>8.0000000000000071E-3</v>
      </c>
      <c r="AU36" s="3">
        <v>2.300000000000002E-2</v>
      </c>
      <c r="AV36">
        <v>8.0000000000000071E-3</v>
      </c>
      <c r="AW36">
        <v>1.4999999999999986E-2</v>
      </c>
      <c r="AX36">
        <v>3.6999999999999977E-2</v>
      </c>
      <c r="AY36">
        <v>4.0000000000000036E-3</v>
      </c>
      <c r="AZ36">
        <v>8.0000000000000071E-3</v>
      </c>
      <c r="BA36">
        <v>3.1E-2</v>
      </c>
      <c r="BB36">
        <v>1.3000000000000012E-2</v>
      </c>
      <c r="BC36">
        <v>9.9999999999999811E-3</v>
      </c>
      <c r="BD36">
        <v>3.8000000000000006E-2</v>
      </c>
    </row>
    <row r="37" spans="1:56">
      <c r="A37" t="s">
        <v>127</v>
      </c>
      <c r="B37" t="s">
        <v>128</v>
      </c>
      <c r="C37" s="1">
        <v>-9.999999999999995E-3</v>
      </c>
      <c r="D37">
        <v>-2.9999999999999888E-3</v>
      </c>
      <c r="E37">
        <v>1.5999999999999986E-2</v>
      </c>
      <c r="F37">
        <v>0.49500000000000005</v>
      </c>
      <c r="G37">
        <v>0.623</v>
      </c>
      <c r="H37">
        <v>0.504</v>
      </c>
      <c r="I37">
        <v>0.66499999999999992</v>
      </c>
      <c r="J37">
        <v>1.06</v>
      </c>
      <c r="K37">
        <v>1.022</v>
      </c>
      <c r="L37">
        <v>0.60299999999999998</v>
      </c>
      <c r="M37">
        <v>0.9890000000000001</v>
      </c>
      <c r="N37">
        <v>0.59699999999999998</v>
      </c>
      <c r="O37">
        <v>0.53200000000000003</v>
      </c>
      <c r="P37">
        <v>0.97699999999999987</v>
      </c>
      <c r="Q37">
        <v>0.626</v>
      </c>
      <c r="R37">
        <v>0.63400000000000001</v>
      </c>
      <c r="S37">
        <v>0.95</v>
      </c>
      <c r="T37">
        <v>0.72500000000000009</v>
      </c>
      <c r="U37" s="3">
        <v>-1.0999999999999996E-2</v>
      </c>
      <c r="V37" s="3">
        <v>-7.9999999999999932E-3</v>
      </c>
      <c r="W37" s="3">
        <v>9.5999999999999988E-2</v>
      </c>
      <c r="X37" s="3">
        <v>0.50800000000000001</v>
      </c>
      <c r="Y37" s="3">
        <v>0.55299999999999994</v>
      </c>
      <c r="Z37" s="3">
        <v>0.55600000000000005</v>
      </c>
      <c r="AA37" s="3">
        <v>0.72500000000000009</v>
      </c>
      <c r="AB37" s="3">
        <v>0.77800000000000002</v>
      </c>
      <c r="AC37" s="3">
        <v>0.68400000000000005</v>
      </c>
      <c r="AD37" s="3">
        <v>0.84700000000000009</v>
      </c>
      <c r="AE37" s="3">
        <v>0.90800000000000003</v>
      </c>
      <c r="AF37" s="3">
        <v>0.88200000000000012</v>
      </c>
      <c r="AG37" s="3">
        <v>0.90600000000000003</v>
      </c>
      <c r="AH37" s="3">
        <v>1.0130000000000001</v>
      </c>
      <c r="AI37" s="3">
        <v>0.88900000000000012</v>
      </c>
      <c r="AJ37" s="3">
        <v>0.96800000000000008</v>
      </c>
      <c r="AK37" s="3">
        <v>0.92200000000000015</v>
      </c>
      <c r="AL37" s="3">
        <v>0.91799999999999993</v>
      </c>
      <c r="AM37" s="3">
        <v>-4.8000000000000001E-2</v>
      </c>
      <c r="AN37" s="3">
        <v>-2.9999999999999888E-3</v>
      </c>
      <c r="AO37" s="3">
        <v>-0.28999999999999998</v>
      </c>
      <c r="AP37" s="3">
        <v>0.5</v>
      </c>
      <c r="AQ37" s="3">
        <v>0.47200000000000003</v>
      </c>
      <c r="AR37" s="3">
        <v>0.52499999999999991</v>
      </c>
      <c r="AS37" s="3">
        <v>0.71800000000000008</v>
      </c>
      <c r="AT37" s="3">
        <v>0.71500000000000008</v>
      </c>
      <c r="AU37" s="3">
        <v>0.73499999999999999</v>
      </c>
      <c r="AV37">
        <v>0.84700000000000009</v>
      </c>
      <c r="AW37">
        <v>0.81399999999999983</v>
      </c>
      <c r="AX37">
        <v>0.8680000000000001</v>
      </c>
      <c r="AY37">
        <v>0.85099999999999998</v>
      </c>
      <c r="AZ37">
        <v>0.8640000000000001</v>
      </c>
      <c r="BA37">
        <v>0.871</v>
      </c>
      <c r="BB37">
        <v>0.72000000000000008</v>
      </c>
      <c r="BC37">
        <v>0.88900000000000001</v>
      </c>
      <c r="BD37">
        <v>0.88800000000000001</v>
      </c>
    </row>
    <row r="38" spans="1:56">
      <c r="A38" t="s">
        <v>129</v>
      </c>
      <c r="B38" t="s">
        <v>130</v>
      </c>
      <c r="C38" s="1">
        <v>2.0000000000000018E-3</v>
      </c>
      <c r="D38">
        <v>1.0000000000000009E-2</v>
      </c>
      <c r="E38">
        <v>-4.0000000000000036E-3</v>
      </c>
      <c r="F38">
        <v>-2.1999999999999992E-2</v>
      </c>
      <c r="G38">
        <v>2.4000000000000021E-2</v>
      </c>
      <c r="H38">
        <v>3.0000000000000027E-3</v>
      </c>
      <c r="I38">
        <v>-1.5000000000000013E-2</v>
      </c>
      <c r="J38">
        <v>2.2999999999999993E-2</v>
      </c>
      <c r="K38">
        <v>-5.1000000000000018E-2</v>
      </c>
      <c r="L38">
        <v>-4.9000000000000016E-2</v>
      </c>
      <c r="M38">
        <v>8.0000000000000071E-3</v>
      </c>
      <c r="N38">
        <v>-7.400000000000001E-2</v>
      </c>
      <c r="O38">
        <v>-1.0000000000000009E-3</v>
      </c>
      <c r="P38">
        <v>1.8000000000000016E-2</v>
      </c>
      <c r="Q38">
        <v>-7.400000000000001E-2</v>
      </c>
      <c r="R38">
        <v>2.1999999999999992E-2</v>
      </c>
      <c r="S38">
        <v>1.2000000000000011E-2</v>
      </c>
      <c r="T38">
        <v>-6.3E-2</v>
      </c>
      <c r="U38" s="3">
        <v>-8.0000000000000071E-3</v>
      </c>
      <c r="V38" s="3">
        <v>0</v>
      </c>
      <c r="W38" s="3">
        <v>7.9000000000000001E-2</v>
      </c>
      <c r="X38" s="3">
        <v>1.0000000000000009E-3</v>
      </c>
      <c r="Y38" s="3">
        <v>1.7999999999999988E-2</v>
      </c>
      <c r="Z38" s="3">
        <v>4.7000000000000014E-2</v>
      </c>
      <c r="AA38" s="3">
        <v>-1.1999999999999983E-2</v>
      </c>
      <c r="AB38" s="3">
        <v>3.0000000000000027E-3</v>
      </c>
      <c r="AC38" s="3">
        <v>9.000000000000008E-3</v>
      </c>
      <c r="AD38" s="3">
        <v>-2.1999999999999992E-2</v>
      </c>
      <c r="AE38" s="3">
        <v>-1.0000000000000009E-3</v>
      </c>
      <c r="AF38" s="3">
        <v>4.0000000000000008E-2</v>
      </c>
      <c r="AG38" s="3">
        <v>-2.4999999999999994E-2</v>
      </c>
      <c r="AH38" s="3">
        <v>-1.2999999999999984E-2</v>
      </c>
      <c r="AI38" s="3">
        <v>7.0000000000000062E-3</v>
      </c>
      <c r="AJ38" s="3">
        <v>-2.5999999999999995E-2</v>
      </c>
      <c r="AK38" s="3">
        <v>-1.0000000000000009E-3</v>
      </c>
      <c r="AL38" s="3">
        <v>-2.0000000000000018E-3</v>
      </c>
      <c r="AM38" s="3">
        <v>-0.05</v>
      </c>
      <c r="AN38" s="3">
        <v>-7.9999999999999932E-3</v>
      </c>
      <c r="AO38" s="3">
        <v>-0.30399999999999999</v>
      </c>
      <c r="AP38" s="3">
        <v>-5.099999999999999E-2</v>
      </c>
      <c r="AQ38" s="3">
        <v>-3.8000000000000006E-2</v>
      </c>
      <c r="AR38" s="3">
        <v>1.100000000000001E-2</v>
      </c>
      <c r="AS38" s="3">
        <v>-4.8999999999999988E-2</v>
      </c>
      <c r="AT38" s="3">
        <v>-3.7000000000000005E-2</v>
      </c>
      <c r="AU38" s="3">
        <v>-3.5000000000000003E-2</v>
      </c>
      <c r="AV38">
        <v>-5.6999999999999995E-2</v>
      </c>
      <c r="AW38">
        <v>-4.0000000000000008E-2</v>
      </c>
      <c r="AX38">
        <v>-2.5000000000000022E-2</v>
      </c>
      <c r="AY38">
        <v>-5.8999999999999997E-2</v>
      </c>
      <c r="AZ38">
        <v>-4.1999999999999982E-2</v>
      </c>
      <c r="BA38">
        <v>-4.0999999999999981E-2</v>
      </c>
      <c r="BB38">
        <v>-5.5999999999999994E-2</v>
      </c>
      <c r="BC38">
        <v>-3.9000000000000007E-2</v>
      </c>
      <c r="BD38">
        <v>7.0000000000000062E-3</v>
      </c>
    </row>
    <row r="39" spans="1:56">
      <c r="A39" t="s">
        <v>131</v>
      </c>
      <c r="B39" t="s">
        <v>132</v>
      </c>
      <c r="C39" s="1">
        <v>-1.3999999999999999E-2</v>
      </c>
      <c r="D39">
        <v>2.200000000000002E-2</v>
      </c>
      <c r="E39">
        <v>1.0000000000000009E-3</v>
      </c>
      <c r="F39">
        <v>-1.6999999999999987E-2</v>
      </c>
      <c r="G39">
        <v>4.7000000000000014E-2</v>
      </c>
      <c r="H39">
        <v>3.4000000000000002E-2</v>
      </c>
      <c r="I39">
        <v>-2.1000000000000019E-2</v>
      </c>
      <c r="J39">
        <v>3.7999999999999978E-2</v>
      </c>
      <c r="K39">
        <v>-2.1000000000000019E-2</v>
      </c>
      <c r="L39">
        <v>-2.5999999999999995E-2</v>
      </c>
      <c r="M39">
        <v>2.1999999999999992E-2</v>
      </c>
      <c r="N39">
        <v>-5.1000000000000018E-2</v>
      </c>
      <c r="O39">
        <v>-4.0000000000000008E-2</v>
      </c>
      <c r="P39">
        <v>3.3000000000000002E-2</v>
      </c>
      <c r="Q39">
        <v>-3.8000000000000006E-2</v>
      </c>
      <c r="R39">
        <v>-1.7000000000000015E-2</v>
      </c>
      <c r="S39">
        <v>3.1E-2</v>
      </c>
      <c r="T39">
        <v>-2.4000000000000021E-2</v>
      </c>
      <c r="U39" s="3">
        <v>1.3999999999999999E-2</v>
      </c>
      <c r="V39" s="3">
        <v>3.8999999999999993E-2</v>
      </c>
      <c r="W39" s="3">
        <v>7.6999999999999999E-2</v>
      </c>
      <c r="X39" s="3">
        <v>3.6000000000000004E-2</v>
      </c>
      <c r="Y39" s="3">
        <v>6.4000000000000001E-2</v>
      </c>
      <c r="Z39" s="3">
        <v>8.4999999999999992E-2</v>
      </c>
      <c r="AA39" s="3">
        <v>3.8000000000000006E-2</v>
      </c>
      <c r="AB39" s="3">
        <v>5.8000000000000024E-2</v>
      </c>
      <c r="AC39" s="3">
        <v>3.2000000000000001E-2</v>
      </c>
      <c r="AD39" s="3">
        <v>3.3000000000000002E-2</v>
      </c>
      <c r="AE39" s="3">
        <v>6.2000000000000027E-2</v>
      </c>
      <c r="AF39" s="3">
        <v>6.0000000000000026E-2</v>
      </c>
      <c r="AG39" s="3">
        <v>2.5999999999999995E-2</v>
      </c>
      <c r="AH39" s="3">
        <v>5.2000000000000018E-2</v>
      </c>
      <c r="AI39" s="3">
        <v>2.4999999999999994E-2</v>
      </c>
      <c r="AJ39" s="3">
        <v>3.1E-2</v>
      </c>
      <c r="AK39" s="3">
        <v>6.4000000000000001E-2</v>
      </c>
      <c r="AL39" s="3">
        <v>6.9999999999999979E-2</v>
      </c>
      <c r="AM39" s="3">
        <v>-3.8000000000000006E-2</v>
      </c>
      <c r="AN39" s="3">
        <v>2.0000000000000018E-3</v>
      </c>
      <c r="AO39" s="3">
        <v>-0.30599999999999999</v>
      </c>
      <c r="AP39" s="3">
        <v>-1.6999999999999987E-2</v>
      </c>
      <c r="AQ39" s="3">
        <v>3.2000000000000001E-2</v>
      </c>
      <c r="AR39" s="3">
        <v>7.7000000000000013E-2</v>
      </c>
      <c r="AS39" s="3">
        <v>-4.0000000000000036E-3</v>
      </c>
      <c r="AT39" s="3">
        <v>2.4999999999999994E-2</v>
      </c>
      <c r="AU39" s="3">
        <v>2.300000000000002E-2</v>
      </c>
      <c r="AV39">
        <v>-1.0000000000000009E-2</v>
      </c>
      <c r="AW39">
        <v>2.3999999999999994E-2</v>
      </c>
      <c r="AX39">
        <v>2.7999999999999997E-2</v>
      </c>
      <c r="AY39">
        <v>-1.7999999999999988E-2</v>
      </c>
      <c r="AZ39">
        <v>1.3000000000000012E-2</v>
      </c>
      <c r="BA39">
        <v>8.0000000000000071E-3</v>
      </c>
      <c r="BB39">
        <v>-1.3999999999999985E-2</v>
      </c>
      <c r="BC39">
        <v>1.0999999999999982E-2</v>
      </c>
      <c r="BD39">
        <v>7.600000000000004E-2</v>
      </c>
    </row>
    <row r="40" spans="1:56">
      <c r="A40" t="s">
        <v>133</v>
      </c>
      <c r="B40" t="s">
        <v>134</v>
      </c>
      <c r="C40" s="1">
        <v>-1.4999999999999999E-2</v>
      </c>
      <c r="D40">
        <v>1.9000000000000017E-2</v>
      </c>
      <c r="E40">
        <v>-1.7000000000000001E-2</v>
      </c>
      <c r="F40">
        <v>0.38400000000000006</v>
      </c>
      <c r="G40">
        <v>0.44400000000000001</v>
      </c>
      <c r="H40">
        <v>0.46699999999999997</v>
      </c>
      <c r="I40">
        <v>0.67999999999999994</v>
      </c>
      <c r="J40">
        <v>0.75600000000000001</v>
      </c>
      <c r="K40">
        <v>0.65700000000000003</v>
      </c>
      <c r="L40">
        <v>0.79899999999999993</v>
      </c>
      <c r="M40">
        <v>0.80299999999999994</v>
      </c>
      <c r="N40">
        <v>0.71899999999999997</v>
      </c>
      <c r="O40">
        <v>0.85400000000000009</v>
      </c>
      <c r="P40">
        <v>0.82599999999999985</v>
      </c>
      <c r="Q40">
        <v>0.75800000000000001</v>
      </c>
      <c r="R40">
        <v>0.95800000000000007</v>
      </c>
      <c r="S40">
        <v>0.87600000000000011</v>
      </c>
      <c r="T40">
        <v>0.7669999999999999</v>
      </c>
      <c r="U40" s="3">
        <v>3.3999999999999989E-2</v>
      </c>
      <c r="V40" s="3">
        <v>8.9999999999999941E-3</v>
      </c>
      <c r="W40" s="3">
        <v>8.7000000000000008E-2</v>
      </c>
      <c r="X40" s="3">
        <v>0.45600000000000002</v>
      </c>
      <c r="Y40" s="3">
        <v>0.45400000000000001</v>
      </c>
      <c r="Z40" s="3">
        <v>0.52400000000000002</v>
      </c>
      <c r="AA40" s="3">
        <v>0.65</v>
      </c>
      <c r="AB40" s="3">
        <v>0.65500000000000003</v>
      </c>
      <c r="AC40" s="3">
        <v>0.626</v>
      </c>
      <c r="AD40" s="3">
        <v>0.75900000000000001</v>
      </c>
      <c r="AE40" s="3">
        <v>0.77</v>
      </c>
      <c r="AF40" s="3">
        <v>0.80600000000000005</v>
      </c>
      <c r="AG40" s="3">
        <v>0.93099999999999994</v>
      </c>
      <c r="AH40" s="3">
        <v>0.94599999999999995</v>
      </c>
      <c r="AI40" s="3">
        <v>0.87</v>
      </c>
      <c r="AJ40" s="3">
        <v>0.876</v>
      </c>
      <c r="AK40" s="3">
        <v>0.90000000000000013</v>
      </c>
      <c r="AL40" s="3">
        <v>0.94199999999999995</v>
      </c>
      <c r="AM40" s="3">
        <v>1.0000000000000009E-3</v>
      </c>
      <c r="AN40" s="3">
        <v>2.2000000000000006E-2</v>
      </c>
      <c r="AO40" s="3">
        <v>-0.309</v>
      </c>
      <c r="AP40" s="3">
        <v>0.46400000000000008</v>
      </c>
      <c r="AQ40" s="3">
        <v>0.49400000000000005</v>
      </c>
      <c r="AR40" s="3">
        <v>0.56299999999999994</v>
      </c>
      <c r="AS40" s="3">
        <v>0.70400000000000007</v>
      </c>
      <c r="AT40" s="3">
        <v>0.65199999999999991</v>
      </c>
      <c r="AU40" s="3">
        <v>0.64500000000000002</v>
      </c>
      <c r="AV40">
        <v>0.66300000000000003</v>
      </c>
      <c r="AW40">
        <v>0.7370000000000001</v>
      </c>
      <c r="AX40">
        <v>0.71799999999999997</v>
      </c>
      <c r="AY40">
        <v>0.752</v>
      </c>
      <c r="AZ40">
        <v>0.84000000000000008</v>
      </c>
      <c r="BA40">
        <v>0.81099999999999994</v>
      </c>
      <c r="BB40">
        <v>0.77800000000000002</v>
      </c>
      <c r="BC40">
        <v>0.92999999999999994</v>
      </c>
      <c r="BD40">
        <v>0.91700000000000015</v>
      </c>
    </row>
    <row r="41" spans="1:56">
      <c r="A41" t="s">
        <v>135</v>
      </c>
      <c r="B41" t="s">
        <v>136</v>
      </c>
      <c r="C41" s="1">
        <v>4.300000000000001E-2</v>
      </c>
      <c r="D41">
        <v>6.6000000000000003E-2</v>
      </c>
      <c r="E41">
        <v>-2.5000000000000008E-2</v>
      </c>
      <c r="F41">
        <v>0.6120000000000001</v>
      </c>
      <c r="G41">
        <v>0.75100000000000011</v>
      </c>
      <c r="H41">
        <v>0.65599999999999992</v>
      </c>
      <c r="I41">
        <v>0.71199999999999997</v>
      </c>
      <c r="J41">
        <v>0.93399999999999994</v>
      </c>
      <c r="K41">
        <v>0.77400000000000002</v>
      </c>
      <c r="L41">
        <v>0.69500000000000006</v>
      </c>
      <c r="M41">
        <v>0.81800000000000006</v>
      </c>
      <c r="N41">
        <v>0.61799999999999999</v>
      </c>
      <c r="O41">
        <v>0.60499999999999998</v>
      </c>
      <c r="P41">
        <v>0.85399999999999987</v>
      </c>
      <c r="Q41">
        <v>0.67200000000000004</v>
      </c>
      <c r="R41">
        <v>0.63500000000000001</v>
      </c>
      <c r="S41">
        <v>0.78499999999999992</v>
      </c>
      <c r="T41">
        <v>0.68500000000000005</v>
      </c>
      <c r="U41" s="3">
        <v>6.3999999999999987E-2</v>
      </c>
      <c r="V41" s="3">
        <v>1.3999999999999999E-2</v>
      </c>
      <c r="W41" s="3">
        <v>0.129</v>
      </c>
      <c r="X41" s="3">
        <v>0.64100000000000001</v>
      </c>
      <c r="Y41" s="3">
        <v>0.69900000000000007</v>
      </c>
      <c r="Z41" s="3">
        <v>0.67100000000000004</v>
      </c>
      <c r="AA41" s="3">
        <v>0.91300000000000014</v>
      </c>
      <c r="AB41" s="3">
        <v>0.94300000000000006</v>
      </c>
      <c r="AC41" s="3">
        <v>0.91599999999999993</v>
      </c>
      <c r="AD41" s="3">
        <v>0.87</v>
      </c>
      <c r="AE41" s="3">
        <v>0.8670000000000001</v>
      </c>
      <c r="AF41" s="3">
        <v>0.85899999999999999</v>
      </c>
      <c r="AG41" s="3">
        <v>0.85500000000000009</v>
      </c>
      <c r="AH41" s="3">
        <v>0.85099999999999998</v>
      </c>
      <c r="AI41" s="3">
        <v>0.82</v>
      </c>
      <c r="AJ41" s="3">
        <v>0.8590000000000001</v>
      </c>
      <c r="AK41" s="3">
        <v>0.87400000000000011</v>
      </c>
      <c r="AL41" s="3">
        <v>0.84000000000000008</v>
      </c>
      <c r="AM41" s="3">
        <v>-3.1E-2</v>
      </c>
      <c r="AN41" s="3">
        <v>8.0000000000000071E-3</v>
      </c>
      <c r="AO41" s="3">
        <v>-0.29299999999999998</v>
      </c>
      <c r="AP41" s="3">
        <v>0.61299999999999999</v>
      </c>
      <c r="AQ41" s="3">
        <v>0.57000000000000006</v>
      </c>
      <c r="AR41" s="3">
        <v>0.6399999999999999</v>
      </c>
      <c r="AS41" s="3">
        <v>0.93100000000000005</v>
      </c>
      <c r="AT41" s="3">
        <v>0.8819999999999999</v>
      </c>
      <c r="AU41" s="3">
        <v>0.91800000000000004</v>
      </c>
      <c r="AV41">
        <v>0.83599999999999997</v>
      </c>
      <c r="AW41">
        <v>0.82199999999999984</v>
      </c>
      <c r="AX41">
        <v>0.86699999999999999</v>
      </c>
      <c r="AY41">
        <v>0.82600000000000007</v>
      </c>
      <c r="AZ41">
        <v>0.81</v>
      </c>
      <c r="BA41">
        <v>0.84899999999999998</v>
      </c>
      <c r="BB41">
        <v>0.82099999999999995</v>
      </c>
      <c r="BC41">
        <v>0.80799999999999983</v>
      </c>
      <c r="BD41">
        <v>0.9</v>
      </c>
    </row>
    <row r="42" spans="1:56">
      <c r="A42" t="s">
        <v>137</v>
      </c>
      <c r="B42" t="s">
        <v>138</v>
      </c>
      <c r="C42" s="1">
        <v>1.7999999999999988E-2</v>
      </c>
      <c r="D42">
        <v>3.6000000000000004E-2</v>
      </c>
      <c r="E42">
        <v>-1.6000000000000014E-2</v>
      </c>
      <c r="F42">
        <v>0.58499999999999996</v>
      </c>
      <c r="G42">
        <v>0.754</v>
      </c>
      <c r="H42">
        <v>0.69</v>
      </c>
      <c r="I42">
        <v>0.73099999999999998</v>
      </c>
      <c r="J42">
        <v>0.80799999999999994</v>
      </c>
      <c r="K42">
        <v>0.68900000000000006</v>
      </c>
      <c r="L42">
        <v>0.63300000000000001</v>
      </c>
      <c r="M42">
        <v>0.75</v>
      </c>
      <c r="N42">
        <v>0.58400000000000007</v>
      </c>
      <c r="O42">
        <v>0.64100000000000001</v>
      </c>
      <c r="P42">
        <v>0.74500000000000011</v>
      </c>
      <c r="Q42">
        <v>0.63100000000000001</v>
      </c>
      <c r="R42">
        <v>0.68199999999999994</v>
      </c>
      <c r="S42">
        <v>0.76200000000000001</v>
      </c>
      <c r="T42">
        <v>0.64799999999999991</v>
      </c>
      <c r="U42" s="3">
        <v>-9.000000000000008E-3</v>
      </c>
      <c r="V42" s="3">
        <v>-3.0000000000000027E-3</v>
      </c>
      <c r="W42" s="3">
        <v>9.1000000000000011E-2</v>
      </c>
      <c r="X42" s="3">
        <v>0.39899999999999997</v>
      </c>
      <c r="Y42" s="3">
        <v>0.5069999999999999</v>
      </c>
      <c r="Z42" s="3">
        <v>0.57800000000000007</v>
      </c>
      <c r="AA42" s="3">
        <v>0.66500000000000004</v>
      </c>
      <c r="AB42" s="3">
        <v>0.752</v>
      </c>
      <c r="AC42" s="3">
        <v>0.78699999999999992</v>
      </c>
      <c r="AD42" s="3">
        <v>0.65300000000000002</v>
      </c>
      <c r="AE42" s="3">
        <v>0.76300000000000001</v>
      </c>
      <c r="AF42" s="3">
        <v>0.81400000000000006</v>
      </c>
      <c r="AG42" s="3">
        <v>0.65</v>
      </c>
      <c r="AH42" s="3">
        <v>0.753</v>
      </c>
      <c r="AI42" s="3">
        <v>0.78199999999999992</v>
      </c>
      <c r="AJ42" s="3">
        <v>0.65500000000000003</v>
      </c>
      <c r="AK42" s="3">
        <v>0.7669999999999999</v>
      </c>
      <c r="AL42" s="3">
        <v>0.78499999999999992</v>
      </c>
      <c r="AM42" s="3">
        <v>-4.9000000000000002E-2</v>
      </c>
      <c r="AN42" s="3">
        <v>-7.9999999999999932E-3</v>
      </c>
      <c r="AO42" s="3">
        <v>-0.31999999999999995</v>
      </c>
      <c r="AP42" s="3">
        <v>0.41700000000000004</v>
      </c>
      <c r="AQ42" s="3">
        <v>0.28100000000000003</v>
      </c>
      <c r="AR42" s="3">
        <v>0.26</v>
      </c>
      <c r="AS42" s="3">
        <v>0.70800000000000007</v>
      </c>
      <c r="AT42" s="3">
        <v>0.57200000000000006</v>
      </c>
      <c r="AU42" s="3">
        <v>0.61399999999999999</v>
      </c>
      <c r="AV42">
        <v>0.69500000000000006</v>
      </c>
      <c r="AW42">
        <v>0.56000000000000005</v>
      </c>
      <c r="AX42">
        <v>0.58600000000000008</v>
      </c>
      <c r="AY42">
        <v>0.69600000000000006</v>
      </c>
      <c r="AZ42">
        <v>0.54600000000000004</v>
      </c>
      <c r="BA42">
        <v>0.56600000000000006</v>
      </c>
      <c r="BB42">
        <v>0.69100000000000006</v>
      </c>
      <c r="BC42">
        <v>0.54200000000000004</v>
      </c>
      <c r="BD42">
        <v>0.61399999999999999</v>
      </c>
    </row>
    <row r="43" spans="1:56">
      <c r="A43" t="s">
        <v>139</v>
      </c>
      <c r="B43" t="s">
        <v>140</v>
      </c>
      <c r="C43" s="1">
        <v>-2.8999999999999998E-2</v>
      </c>
      <c r="D43">
        <v>-1.2999999999999998E-2</v>
      </c>
      <c r="E43">
        <v>-3.4000000000000002E-2</v>
      </c>
      <c r="F43">
        <v>7.0000000000000062E-3</v>
      </c>
      <c r="G43">
        <v>1.8000000000000016E-2</v>
      </c>
      <c r="H43">
        <v>1.0999999999999982E-2</v>
      </c>
      <c r="I43">
        <v>-9.000000000000008E-3</v>
      </c>
      <c r="J43">
        <v>1.8999999999999989E-2</v>
      </c>
      <c r="K43">
        <v>-3.6000000000000004E-2</v>
      </c>
      <c r="L43">
        <v>-2.0000000000000018E-3</v>
      </c>
      <c r="M43">
        <v>-1.0000000000000009E-2</v>
      </c>
      <c r="N43">
        <v>-0.06</v>
      </c>
      <c r="O43">
        <v>-2.4999999999999994E-2</v>
      </c>
      <c r="P43">
        <v>3.0000000000000027E-3</v>
      </c>
      <c r="Q43">
        <v>-4.5999999999999985E-2</v>
      </c>
      <c r="R43">
        <v>-1.0000000000000009E-3</v>
      </c>
      <c r="S43">
        <v>-3.0000000000000027E-3</v>
      </c>
      <c r="T43">
        <v>-3.7000000000000005E-2</v>
      </c>
      <c r="U43" s="3">
        <v>-1.2999999999999998E-2</v>
      </c>
      <c r="V43" s="3">
        <v>-4.0000000000000036E-3</v>
      </c>
      <c r="W43" s="3">
        <v>6.2999999999999987E-2</v>
      </c>
      <c r="X43" s="3">
        <v>4.0000000000000036E-3</v>
      </c>
      <c r="Y43" s="3">
        <v>2.0000000000000018E-3</v>
      </c>
      <c r="Z43" s="3">
        <v>3.3000000000000002E-2</v>
      </c>
      <c r="AA43" s="3">
        <v>-1.0000000000000009E-3</v>
      </c>
      <c r="AB43" s="3">
        <v>0</v>
      </c>
      <c r="AC43" s="3">
        <v>-9.000000000000008E-3</v>
      </c>
      <c r="AD43" s="3">
        <v>-1.0000000000000009E-3</v>
      </c>
      <c r="AE43" s="3">
        <v>1.100000000000001E-2</v>
      </c>
      <c r="AF43" s="3">
        <v>2.0000000000000018E-2</v>
      </c>
      <c r="AG43" s="3">
        <v>-1.2000000000000011E-2</v>
      </c>
      <c r="AH43" s="3">
        <v>-6.0000000000000053E-3</v>
      </c>
      <c r="AI43" s="3">
        <v>-1.4000000000000012E-2</v>
      </c>
      <c r="AJ43" s="3">
        <v>-3.0000000000000027E-3</v>
      </c>
      <c r="AK43" s="3">
        <v>1.6999999999999987E-2</v>
      </c>
      <c r="AL43" s="3">
        <v>2.2999999999999993E-2</v>
      </c>
      <c r="AM43" s="3">
        <v>-5.3000000000000005E-2</v>
      </c>
      <c r="AN43" s="3">
        <v>-3.9999999999999897E-3</v>
      </c>
      <c r="AO43" s="3">
        <v>-0.35499999999999998</v>
      </c>
      <c r="AP43" s="3">
        <v>-1.6999999999999987E-2</v>
      </c>
      <c r="AQ43" s="3">
        <v>1.8000000000000016E-2</v>
      </c>
      <c r="AR43" s="3">
        <v>7.2000000000000008E-2</v>
      </c>
      <c r="AS43" s="3">
        <v>-5.0000000000000044E-3</v>
      </c>
      <c r="AT43" s="3">
        <v>9.9999999999999811E-3</v>
      </c>
      <c r="AU43" s="3">
        <v>1.4000000000000012E-2</v>
      </c>
      <c r="AV43">
        <v>1.0000000000000009E-3</v>
      </c>
      <c r="AW43">
        <v>1.5999999999999986E-2</v>
      </c>
      <c r="AX43">
        <v>2.0999999999999991E-2</v>
      </c>
      <c r="AY43">
        <v>-1.6000000000000014E-2</v>
      </c>
      <c r="AZ43">
        <v>-4.9999999999999767E-3</v>
      </c>
      <c r="BA43">
        <v>6.0000000000000053E-3</v>
      </c>
      <c r="BB43">
        <v>-1.7999999999999988E-2</v>
      </c>
      <c r="BC43">
        <v>0</v>
      </c>
      <c r="BD43">
        <v>4.300000000000001E-2</v>
      </c>
    </row>
    <row r="44" spans="1:56">
      <c r="A44" t="s">
        <v>141</v>
      </c>
      <c r="B44" t="s">
        <v>142</v>
      </c>
      <c r="C44" s="1">
        <v>8.0000000000000071E-3</v>
      </c>
      <c r="D44">
        <v>-9.999999999999995E-3</v>
      </c>
      <c r="E44">
        <v>-2.3000000000000007E-2</v>
      </c>
      <c r="F44">
        <v>0.41399999999999998</v>
      </c>
      <c r="G44">
        <v>0.52600000000000002</v>
      </c>
      <c r="H44">
        <v>0.372</v>
      </c>
      <c r="I44">
        <v>1.0509999999999999</v>
      </c>
      <c r="J44">
        <v>1.024</v>
      </c>
      <c r="K44">
        <v>1</v>
      </c>
      <c r="L44">
        <v>0.74700000000000011</v>
      </c>
      <c r="M44">
        <v>0.85000000000000009</v>
      </c>
      <c r="N44">
        <v>0.63100000000000001</v>
      </c>
      <c r="O44">
        <v>0.66999999999999993</v>
      </c>
      <c r="P44">
        <v>0.92700000000000005</v>
      </c>
      <c r="Q44">
        <v>0.63100000000000001</v>
      </c>
      <c r="R44">
        <v>0.68799999999999994</v>
      </c>
      <c r="S44">
        <v>0.80699999999999994</v>
      </c>
      <c r="T44">
        <v>0.65999999999999992</v>
      </c>
      <c r="U44" s="3">
        <v>-3.0000000000000027E-3</v>
      </c>
      <c r="V44" s="3">
        <v>-2.0000000000000018E-3</v>
      </c>
      <c r="W44" s="3">
        <v>4.7E-2</v>
      </c>
      <c r="X44" s="3">
        <v>0.504</v>
      </c>
      <c r="Y44" s="3">
        <v>0.52200000000000002</v>
      </c>
      <c r="Z44" s="3">
        <v>0.56400000000000006</v>
      </c>
      <c r="AA44" s="3">
        <v>1.125</v>
      </c>
      <c r="AB44" s="3">
        <v>0.90700000000000003</v>
      </c>
      <c r="AC44" s="3">
        <v>0.92599999999999993</v>
      </c>
      <c r="AD44" s="3">
        <v>1.018</v>
      </c>
      <c r="AE44" s="3">
        <v>1.008</v>
      </c>
      <c r="AF44" s="3">
        <v>1.038</v>
      </c>
      <c r="AG44" s="3">
        <v>0.96899999999999997</v>
      </c>
      <c r="AH44" s="3">
        <v>0.93700000000000006</v>
      </c>
      <c r="AI44" s="3">
        <v>0.94800000000000006</v>
      </c>
      <c r="AJ44" s="3">
        <v>0.96899999999999997</v>
      </c>
      <c r="AK44" s="3">
        <v>0.95500000000000007</v>
      </c>
      <c r="AL44" s="3">
        <v>0.95500000000000007</v>
      </c>
      <c r="AM44" s="3">
        <v>-4.5999999999999999E-2</v>
      </c>
      <c r="AN44" s="3">
        <v>-1.0000000000000009E-3</v>
      </c>
      <c r="AO44" s="3">
        <v>-0.32799999999999996</v>
      </c>
      <c r="AP44" s="3">
        <v>0.51100000000000001</v>
      </c>
      <c r="AQ44" s="3">
        <v>0.51200000000000001</v>
      </c>
      <c r="AR44" s="3">
        <v>0.504</v>
      </c>
      <c r="AS44" s="3">
        <v>0.91100000000000003</v>
      </c>
      <c r="AT44" s="3">
        <v>0.8919999999999999</v>
      </c>
      <c r="AU44" s="3">
        <v>0.97200000000000009</v>
      </c>
      <c r="AV44">
        <v>1.0539999999999998</v>
      </c>
      <c r="AW44">
        <v>1</v>
      </c>
      <c r="AX44">
        <v>1.099</v>
      </c>
      <c r="AY44">
        <v>0.97700000000000009</v>
      </c>
      <c r="AZ44">
        <v>0.95900000000000007</v>
      </c>
      <c r="BA44">
        <v>0.996</v>
      </c>
      <c r="BB44">
        <v>0.96399999999999997</v>
      </c>
      <c r="BC44">
        <v>0.94099999999999984</v>
      </c>
      <c r="BD44">
        <v>0.9900000000000001</v>
      </c>
    </row>
    <row r="45" spans="1:56">
      <c r="A45" t="s">
        <v>143</v>
      </c>
      <c r="B45" t="s">
        <v>144</v>
      </c>
      <c r="C45" s="1">
        <v>-2.4999999999999994E-2</v>
      </c>
      <c r="D45">
        <v>-9.999999999999995E-3</v>
      </c>
      <c r="E45">
        <v>-3.2000000000000015E-2</v>
      </c>
      <c r="F45">
        <v>-6.0999999999999985E-2</v>
      </c>
      <c r="G45">
        <v>-4.8999999999999988E-2</v>
      </c>
      <c r="H45">
        <v>-0.05</v>
      </c>
      <c r="I45">
        <v>-5.3000000000000005E-2</v>
      </c>
      <c r="J45">
        <v>-2.1000000000000019E-2</v>
      </c>
      <c r="K45">
        <v>-6.9000000000000006E-2</v>
      </c>
      <c r="L45">
        <v>-7.3999999999999996E-2</v>
      </c>
      <c r="M45">
        <v>-0.03</v>
      </c>
      <c r="N45">
        <v>-9.1999999999999998E-2</v>
      </c>
      <c r="O45">
        <v>-7.400000000000001E-2</v>
      </c>
      <c r="P45">
        <v>-1.3999999999999985E-2</v>
      </c>
      <c r="Q45">
        <v>-7.5000000000000011E-2</v>
      </c>
      <c r="R45">
        <v>-4.4000000000000011E-2</v>
      </c>
      <c r="S45">
        <v>-1.3999999999999985E-2</v>
      </c>
      <c r="T45">
        <v>-5.9000000000000025E-2</v>
      </c>
      <c r="U45" s="3">
        <v>-1.0999999999999996E-2</v>
      </c>
      <c r="V45" s="3">
        <v>-6.0000000000000053E-3</v>
      </c>
      <c r="W45" s="3">
        <v>3.2999999999999988E-2</v>
      </c>
      <c r="X45" s="3">
        <v>-8.6000000000000007E-2</v>
      </c>
      <c r="Y45" s="3">
        <v>-8.1000000000000003E-2</v>
      </c>
      <c r="Z45" s="3">
        <v>-4.1999999999999982E-2</v>
      </c>
      <c r="AA45" s="3">
        <v>-8.7999999999999995E-2</v>
      </c>
      <c r="AB45" s="3">
        <v>-7.1999999999999981E-2</v>
      </c>
      <c r="AC45" s="3">
        <v>-7.3999999999999982E-2</v>
      </c>
      <c r="AD45" s="3">
        <v>-8.199999999999999E-2</v>
      </c>
      <c r="AE45" s="3">
        <v>-5.1999999999999991E-2</v>
      </c>
      <c r="AF45" s="3">
        <v>-2.7999999999999997E-2</v>
      </c>
      <c r="AG45" s="3">
        <v>-7.7000000000000013E-2</v>
      </c>
      <c r="AH45" s="3">
        <v>-4.4999999999999984E-2</v>
      </c>
      <c r="AI45" s="3">
        <v>-4.5000000000000012E-2</v>
      </c>
      <c r="AJ45" s="3">
        <v>-7.2000000000000008E-2</v>
      </c>
      <c r="AK45" s="3">
        <v>-2.0000000000000018E-2</v>
      </c>
      <c r="AL45" s="3">
        <v>-1.6000000000000014E-2</v>
      </c>
      <c r="AM45" s="3">
        <v>-0.05</v>
      </c>
      <c r="AN45" s="3">
        <v>-2.9999999999999888E-3</v>
      </c>
      <c r="AO45" s="3">
        <v>-0.371</v>
      </c>
      <c r="AP45" s="3">
        <v>-0.09</v>
      </c>
      <c r="AQ45" s="3">
        <v>-7.0999999999999994E-2</v>
      </c>
      <c r="AR45" s="3">
        <v>-1.0000000000000009E-2</v>
      </c>
      <c r="AS45" s="3">
        <v>-6.4000000000000001E-2</v>
      </c>
      <c r="AT45" s="3">
        <v>-7.2000000000000008E-2</v>
      </c>
      <c r="AU45" s="3">
        <v>-9.3999999999999986E-2</v>
      </c>
      <c r="AV45">
        <v>-4.8999999999999988E-2</v>
      </c>
      <c r="AW45">
        <v>-6.8000000000000005E-2</v>
      </c>
      <c r="AX45">
        <v>-8.7000000000000008E-2</v>
      </c>
      <c r="AY45">
        <v>-4.6000000000000013E-2</v>
      </c>
      <c r="AZ45">
        <v>-6.7999999999999977E-2</v>
      </c>
      <c r="BA45">
        <v>-9.0999999999999984E-2</v>
      </c>
      <c r="BB45">
        <v>-3.6000000000000004E-2</v>
      </c>
      <c r="BC45">
        <v>-6.5000000000000002E-2</v>
      </c>
      <c r="BD45">
        <v>-5.3999999999999992E-2</v>
      </c>
    </row>
    <row r="46" spans="1:56">
      <c r="A46" t="s">
        <v>145</v>
      </c>
      <c r="B46" t="s">
        <v>146</v>
      </c>
      <c r="C46" s="1">
        <v>-2.1000000000000005E-2</v>
      </c>
      <c r="D46">
        <v>-5.9999999999999915E-3</v>
      </c>
      <c r="E46">
        <v>-2.9000000000000012E-2</v>
      </c>
      <c r="F46">
        <v>-5.2999999999999992E-2</v>
      </c>
      <c r="G46">
        <v>0.30399999999999999</v>
      </c>
      <c r="H46">
        <v>5.5999999999999994E-2</v>
      </c>
      <c r="I46">
        <v>1.155</v>
      </c>
      <c r="J46">
        <v>1.411</v>
      </c>
      <c r="K46">
        <v>1.246</v>
      </c>
      <c r="L46">
        <v>1.57</v>
      </c>
      <c r="M46">
        <v>1.8379999999999999</v>
      </c>
      <c r="N46">
        <v>1.66</v>
      </c>
      <c r="O46">
        <v>1.577</v>
      </c>
      <c r="P46">
        <v>1.8779999999999999</v>
      </c>
      <c r="Q46">
        <v>1.6859999999999999</v>
      </c>
      <c r="R46">
        <v>1.61</v>
      </c>
      <c r="S46">
        <v>1.712</v>
      </c>
      <c r="T46">
        <v>1.5609999999999999</v>
      </c>
      <c r="U46" s="3">
        <v>-1.3999999999999999E-2</v>
      </c>
      <c r="V46" s="3">
        <v>2.0000000000000018E-3</v>
      </c>
      <c r="W46" s="3">
        <v>4.4999999999999998E-2</v>
      </c>
      <c r="X46" s="3">
        <v>-4.8000000000000015E-2</v>
      </c>
      <c r="Y46" s="3">
        <v>-3.0000000000000027E-3</v>
      </c>
      <c r="Z46" s="3">
        <v>8.0999999999999989E-2</v>
      </c>
      <c r="AA46" s="3">
        <v>0.55600000000000005</v>
      </c>
      <c r="AB46" s="3">
        <v>0.67100000000000004</v>
      </c>
      <c r="AC46" s="3">
        <v>0.82800000000000007</v>
      </c>
      <c r="AD46" s="3">
        <v>0.8650000000000001</v>
      </c>
      <c r="AE46" s="3">
        <v>1.1709999999999998</v>
      </c>
      <c r="AF46" s="3">
        <v>1.216</v>
      </c>
      <c r="AG46" s="3">
        <v>1.004</v>
      </c>
      <c r="AH46" s="3">
        <v>1.3540000000000001</v>
      </c>
      <c r="AI46" s="3">
        <v>1.38</v>
      </c>
      <c r="AJ46" s="3">
        <v>1.087</v>
      </c>
      <c r="AK46" s="3">
        <v>1.5070000000000001</v>
      </c>
      <c r="AL46" s="3">
        <v>1.4970000000000001</v>
      </c>
      <c r="AM46" s="3">
        <v>-5.4000000000000006E-2</v>
      </c>
      <c r="AN46" s="3">
        <v>-1.0000000000000009E-3</v>
      </c>
      <c r="AO46" s="3">
        <v>-0.308</v>
      </c>
      <c r="AP46" s="3">
        <v>-9.2999999999999999E-2</v>
      </c>
      <c r="AQ46" s="3">
        <v>-6.4999999999999988E-2</v>
      </c>
      <c r="AR46" s="3">
        <v>-2.0000000000000018E-3</v>
      </c>
      <c r="AS46" s="3">
        <v>0.10400000000000001</v>
      </c>
      <c r="AT46" s="3">
        <v>0.26600000000000001</v>
      </c>
      <c r="AU46" s="3">
        <v>-8.8999999999999996E-2</v>
      </c>
      <c r="AV46">
        <v>1.077</v>
      </c>
      <c r="AW46">
        <v>1.123</v>
      </c>
      <c r="AX46">
        <v>-3.5000000000000003E-2</v>
      </c>
      <c r="AY46">
        <v>1.256</v>
      </c>
      <c r="AZ46">
        <v>1.2949999999999999</v>
      </c>
      <c r="BA46">
        <v>0.85699999999999998</v>
      </c>
      <c r="BB46">
        <v>1.379</v>
      </c>
      <c r="BC46">
        <v>1.409</v>
      </c>
      <c r="BD46">
        <v>1.161</v>
      </c>
    </row>
    <row r="47" spans="1:56">
      <c r="A47" t="s">
        <v>147</v>
      </c>
      <c r="B47" t="s">
        <v>148</v>
      </c>
      <c r="C47" s="1">
        <v>-2.2999999999999993E-2</v>
      </c>
      <c r="D47">
        <v>-7.9999999999999932E-3</v>
      </c>
      <c r="E47">
        <v>-3.2000000000000015E-2</v>
      </c>
      <c r="F47">
        <v>-6.5999999999999989E-2</v>
      </c>
      <c r="G47">
        <v>-6.1999999999999986E-2</v>
      </c>
      <c r="H47">
        <v>-6.0000000000000012E-2</v>
      </c>
      <c r="I47">
        <v>-5.6000000000000008E-2</v>
      </c>
      <c r="J47">
        <v>-5.1000000000000018E-2</v>
      </c>
      <c r="K47">
        <v>-8.4000000000000005E-2</v>
      </c>
      <c r="L47">
        <v>-7.4999999999999997E-2</v>
      </c>
      <c r="M47">
        <v>-5.1999999999999991E-2</v>
      </c>
      <c r="N47">
        <v>-0.10700000000000001</v>
      </c>
      <c r="O47">
        <v>-6.6000000000000003E-2</v>
      </c>
      <c r="P47">
        <v>-3.1E-2</v>
      </c>
      <c r="Q47">
        <v>-8.4999999999999992E-2</v>
      </c>
      <c r="R47">
        <v>-3.4000000000000002E-2</v>
      </c>
      <c r="S47">
        <v>-2.1999999999999992E-2</v>
      </c>
      <c r="T47">
        <v>-6.4000000000000001E-2</v>
      </c>
      <c r="U47" s="3">
        <v>-5.0000000000000044E-3</v>
      </c>
      <c r="V47" s="3">
        <v>-4.0000000000000036E-3</v>
      </c>
      <c r="W47" s="3">
        <v>-3.0000000000000027E-3</v>
      </c>
      <c r="X47" s="3">
        <v>-8.8000000000000009E-2</v>
      </c>
      <c r="Y47" s="3">
        <v>-8.8000000000000009E-2</v>
      </c>
      <c r="Z47" s="3">
        <v>-9.2999999999999985E-2</v>
      </c>
      <c r="AA47" s="3">
        <v>-9.9999999999999992E-2</v>
      </c>
      <c r="AB47" s="3">
        <v>-9.3999999999999986E-2</v>
      </c>
      <c r="AC47" s="3">
        <v>-9.6999999999999989E-2</v>
      </c>
      <c r="AD47" s="3">
        <v>-0.10299999999999999</v>
      </c>
      <c r="AE47" s="3">
        <v>-9.1999999999999985E-2</v>
      </c>
      <c r="AF47" s="3">
        <v>-8.9999999999999983E-2</v>
      </c>
      <c r="AG47" s="3">
        <v>-9.9000000000000005E-2</v>
      </c>
      <c r="AH47" s="3">
        <v>-9.7000000000000003E-2</v>
      </c>
      <c r="AI47" s="3">
        <v>-9.8000000000000004E-2</v>
      </c>
      <c r="AJ47" s="3">
        <v>-9.0999999999999998E-2</v>
      </c>
      <c r="AK47" s="3">
        <v>-6.8000000000000005E-2</v>
      </c>
      <c r="AL47" s="3">
        <v>-9.2999999999999999E-2</v>
      </c>
      <c r="AM47" s="3">
        <v>-5.2000000000000005E-2</v>
      </c>
      <c r="AN47" s="3">
        <v>-2.0000000000000018E-3</v>
      </c>
      <c r="AO47" s="3">
        <v>-0.375</v>
      </c>
      <c r="AP47" s="3">
        <v>-0.10299999999999999</v>
      </c>
      <c r="AQ47" s="3">
        <v>-7.4999999999999997E-2</v>
      </c>
      <c r="AR47" s="3">
        <v>-4.4000000000000011E-2</v>
      </c>
      <c r="AS47" s="3">
        <v>-9.6999999999999989E-2</v>
      </c>
      <c r="AT47" s="3">
        <v>-8.8000000000000009E-2</v>
      </c>
      <c r="AU47" s="3">
        <v>-9.6999999999999989E-2</v>
      </c>
      <c r="AV47">
        <v>-0.10099999999999999</v>
      </c>
      <c r="AW47">
        <v>-8.8000000000000009E-2</v>
      </c>
      <c r="AX47">
        <v>-8.8000000000000009E-2</v>
      </c>
      <c r="AY47">
        <v>-0.10200000000000001</v>
      </c>
      <c r="AZ47">
        <v>-9.1999999999999985E-2</v>
      </c>
      <c r="BA47">
        <v>-9.3999999999999986E-2</v>
      </c>
      <c r="BB47">
        <v>-9.1999999999999998E-2</v>
      </c>
      <c r="BC47">
        <v>-8.4000000000000019E-2</v>
      </c>
      <c r="BD47">
        <v>-7.9999999999999988E-2</v>
      </c>
    </row>
    <row r="48" spans="1:56">
      <c r="A48" t="s">
        <v>149</v>
      </c>
      <c r="B48" t="s">
        <v>150</v>
      </c>
      <c r="C48">
        <v>-1.3999999999999999E-2</v>
      </c>
      <c r="D48">
        <v>4.0000000000000036E-3</v>
      </c>
      <c r="E48">
        <v>-8.0000000000000071E-3</v>
      </c>
      <c r="F48">
        <v>4.200000000000001E-2</v>
      </c>
      <c r="G48">
        <v>6.7000000000000004E-2</v>
      </c>
      <c r="H48">
        <v>0.16</v>
      </c>
      <c r="I48">
        <v>0.56399999999999995</v>
      </c>
      <c r="J48">
        <v>0.12199999999999997</v>
      </c>
      <c r="K48">
        <v>0.55699999999999994</v>
      </c>
      <c r="L48">
        <v>0.57099999999999995</v>
      </c>
      <c r="M48">
        <v>0.20400000000000001</v>
      </c>
      <c r="N48">
        <v>0.47899999999999998</v>
      </c>
      <c r="O48">
        <v>0.54299999999999993</v>
      </c>
      <c r="P48">
        <v>0.20300000000000001</v>
      </c>
      <c r="Q48">
        <v>0.48099999999999998</v>
      </c>
      <c r="R48">
        <v>0.55499999999999994</v>
      </c>
      <c r="S48">
        <v>0.17599999999999999</v>
      </c>
      <c r="T48">
        <v>0.49999999999999994</v>
      </c>
      <c r="U48" s="3">
        <v>0</v>
      </c>
      <c r="V48" s="3">
        <v>-4.0000000000000036E-3</v>
      </c>
      <c r="W48" s="3">
        <v>1.4999999999999999E-2</v>
      </c>
      <c r="X48" s="3">
        <v>0.28999999999999998</v>
      </c>
      <c r="Y48" s="3">
        <v>0.23699999999999999</v>
      </c>
      <c r="Z48" s="3">
        <v>0.26400000000000001</v>
      </c>
      <c r="AA48" s="3">
        <v>0.72500000000000009</v>
      </c>
      <c r="AB48" s="3">
        <v>0.70200000000000007</v>
      </c>
      <c r="AC48" s="3">
        <v>0.57100000000000006</v>
      </c>
      <c r="AD48" s="3">
        <v>0.83399999999999996</v>
      </c>
      <c r="AE48" s="3">
        <v>0.77</v>
      </c>
      <c r="AF48" s="3">
        <v>0.751</v>
      </c>
      <c r="AG48" s="3">
        <v>0.84100000000000008</v>
      </c>
      <c r="AH48" s="3">
        <v>0.76400000000000001</v>
      </c>
      <c r="AI48" s="3">
        <v>0.74399999999999999</v>
      </c>
      <c r="AJ48" s="3">
        <v>0.84500000000000008</v>
      </c>
      <c r="AK48" s="3">
        <v>0.78</v>
      </c>
      <c r="AL48" s="3">
        <v>0.73499999999999999</v>
      </c>
      <c r="AM48" s="3">
        <v>-2.7999999999999997E-2</v>
      </c>
      <c r="AN48" s="3">
        <v>3.0000000000000027E-3</v>
      </c>
      <c r="AO48" s="3">
        <v>-0.371</v>
      </c>
      <c r="AP48" s="3">
        <v>1.3000000000000012E-2</v>
      </c>
      <c r="AQ48" s="3">
        <v>1.6000000000000014E-2</v>
      </c>
      <c r="AR48" s="3">
        <v>0.21200000000000002</v>
      </c>
      <c r="AS48" s="3">
        <v>8.3999999999999991E-2</v>
      </c>
      <c r="AT48" s="3">
        <v>7.0000000000000007E-2</v>
      </c>
      <c r="AU48" s="3">
        <v>0.59100000000000008</v>
      </c>
      <c r="AV48">
        <v>0.20599999999999999</v>
      </c>
      <c r="AW48">
        <v>0.15099999999999997</v>
      </c>
      <c r="AX48">
        <v>0.78800000000000003</v>
      </c>
      <c r="AY48">
        <v>0.23400000000000001</v>
      </c>
      <c r="AZ48">
        <v>0.17800000000000002</v>
      </c>
      <c r="BA48">
        <v>0.83099999999999996</v>
      </c>
      <c r="BB48">
        <v>0.252</v>
      </c>
      <c r="BC48">
        <v>0.193</v>
      </c>
      <c r="BD48">
        <v>0.84100000000000008</v>
      </c>
    </row>
    <row r="49" spans="1:56">
      <c r="A49" t="s">
        <v>151</v>
      </c>
      <c r="B49" t="s">
        <v>152</v>
      </c>
      <c r="C49">
        <v>-2.4999999999999994E-2</v>
      </c>
      <c r="D49">
        <v>2.3999999999999994E-2</v>
      </c>
      <c r="E49">
        <v>1.6999999999999987E-2</v>
      </c>
      <c r="F49">
        <v>0.184</v>
      </c>
      <c r="G49">
        <v>0.32400000000000001</v>
      </c>
      <c r="H49">
        <v>0.25600000000000001</v>
      </c>
      <c r="I49">
        <v>0.60299999999999998</v>
      </c>
      <c r="J49">
        <v>0.85499999999999998</v>
      </c>
      <c r="K49">
        <v>0.73399999999999999</v>
      </c>
      <c r="L49">
        <v>1.1000000000000001</v>
      </c>
      <c r="M49">
        <v>1.1840000000000002</v>
      </c>
      <c r="N49">
        <v>0.95899999999999996</v>
      </c>
      <c r="O49">
        <v>1.272</v>
      </c>
      <c r="P49">
        <v>1.3</v>
      </c>
      <c r="Q49">
        <v>0.95199999999999996</v>
      </c>
      <c r="R49">
        <v>1.288</v>
      </c>
      <c r="S49">
        <v>1.377</v>
      </c>
      <c r="T49">
        <v>1.153</v>
      </c>
      <c r="U49" s="3">
        <v>1.0999999999999996E-2</v>
      </c>
      <c r="V49" s="3">
        <v>3.0000000000000027E-3</v>
      </c>
      <c r="W49" s="3">
        <v>8.6000000000000007E-2</v>
      </c>
      <c r="X49" s="3">
        <v>0.48400000000000004</v>
      </c>
      <c r="Y49" s="3">
        <v>0.48999999999999994</v>
      </c>
      <c r="Z49" s="3">
        <v>0.50600000000000001</v>
      </c>
      <c r="AA49" s="3">
        <v>0.79999999999999993</v>
      </c>
      <c r="AB49" s="3">
        <v>0.79100000000000004</v>
      </c>
      <c r="AC49" s="3">
        <v>0.75</v>
      </c>
      <c r="AD49" s="3">
        <v>0.92400000000000004</v>
      </c>
      <c r="AE49" s="3">
        <v>0.92299999999999993</v>
      </c>
      <c r="AF49" s="3">
        <v>0.89900000000000002</v>
      </c>
      <c r="AG49" s="3">
        <v>1.028</v>
      </c>
      <c r="AH49" s="3">
        <v>1.002</v>
      </c>
      <c r="AI49" s="3">
        <v>0.97600000000000009</v>
      </c>
      <c r="AJ49" s="3">
        <v>1.085</v>
      </c>
      <c r="AK49" s="3">
        <v>1.08</v>
      </c>
      <c r="AL49" s="3">
        <v>1.048</v>
      </c>
      <c r="AM49" s="3">
        <v>-2.6999999999999996E-2</v>
      </c>
      <c r="AN49" s="3">
        <v>-2.9999999999999888E-3</v>
      </c>
      <c r="AO49" s="3">
        <v>-0.29699999999999999</v>
      </c>
      <c r="AP49" s="3">
        <v>0.44500000000000006</v>
      </c>
      <c r="AQ49" s="3">
        <v>0.38799999999999996</v>
      </c>
      <c r="AR49" s="3">
        <v>0.35100000000000003</v>
      </c>
      <c r="AS49" s="3">
        <v>0.82099999999999995</v>
      </c>
      <c r="AT49" s="3">
        <v>0.78699999999999992</v>
      </c>
      <c r="AU49" s="3">
        <v>0.77100000000000002</v>
      </c>
      <c r="AV49">
        <v>0.89900000000000013</v>
      </c>
      <c r="AW49">
        <v>0.879</v>
      </c>
      <c r="AX49">
        <v>0.89800000000000013</v>
      </c>
      <c r="AY49">
        <v>0.9910000000000001</v>
      </c>
      <c r="AZ49">
        <v>0.97599999999999998</v>
      </c>
      <c r="BA49">
        <v>0.97599999999999998</v>
      </c>
      <c r="BB49">
        <v>1.0669999999999999</v>
      </c>
      <c r="BC49">
        <v>1.038</v>
      </c>
      <c r="BD49">
        <v>1.0939999999999999</v>
      </c>
    </row>
    <row r="50" spans="1:56">
      <c r="A50" t="s">
        <v>153</v>
      </c>
      <c r="B50" t="s">
        <v>154</v>
      </c>
      <c r="C50">
        <v>-2.4999999999999994E-2</v>
      </c>
      <c r="D50">
        <v>7.2000000000000008E-2</v>
      </c>
      <c r="E50">
        <v>6.0000000000000053E-3</v>
      </c>
      <c r="F50">
        <v>0.20100000000000001</v>
      </c>
      <c r="G50">
        <v>0.247</v>
      </c>
      <c r="H50">
        <v>0.22</v>
      </c>
      <c r="I50">
        <v>0.34299999999999997</v>
      </c>
      <c r="J50">
        <v>0.41699999999999993</v>
      </c>
      <c r="K50">
        <v>0.35600000000000004</v>
      </c>
      <c r="L50">
        <v>0.39099999999999996</v>
      </c>
      <c r="M50">
        <v>0.47400000000000003</v>
      </c>
      <c r="N50">
        <v>0.40900000000000003</v>
      </c>
      <c r="O50">
        <v>0.437</v>
      </c>
      <c r="P50">
        <v>0.53600000000000003</v>
      </c>
      <c r="Q50">
        <v>0.497</v>
      </c>
      <c r="R50">
        <v>0.497</v>
      </c>
      <c r="S50">
        <v>0.55400000000000005</v>
      </c>
      <c r="T50">
        <v>0.54200000000000004</v>
      </c>
      <c r="U50" s="3">
        <v>1.0999999999999996E-2</v>
      </c>
      <c r="V50" s="3">
        <v>1.0999999999999996E-2</v>
      </c>
      <c r="W50" s="3">
        <v>0.104</v>
      </c>
      <c r="X50" s="3">
        <v>0.40799999999999997</v>
      </c>
      <c r="Y50" s="3">
        <v>0.42499999999999999</v>
      </c>
      <c r="Z50" s="3">
        <v>0.42800000000000005</v>
      </c>
      <c r="AA50" s="3">
        <v>0.70200000000000007</v>
      </c>
      <c r="AB50" s="3">
        <v>0.71400000000000008</v>
      </c>
      <c r="AC50" s="3">
        <v>0.71500000000000008</v>
      </c>
      <c r="AD50" s="3">
        <v>0.752</v>
      </c>
      <c r="AE50" s="3">
        <v>0.74099999999999999</v>
      </c>
      <c r="AF50" s="3">
        <v>0.755</v>
      </c>
      <c r="AG50" s="3">
        <v>0.78300000000000003</v>
      </c>
      <c r="AH50" s="3">
        <v>0.78400000000000003</v>
      </c>
      <c r="AI50" s="3">
        <v>0.76900000000000002</v>
      </c>
      <c r="AJ50" s="3">
        <v>0.84100000000000008</v>
      </c>
      <c r="AK50" s="3">
        <v>0.84800000000000009</v>
      </c>
      <c r="AL50" s="3">
        <v>0.83099999999999996</v>
      </c>
      <c r="AM50" s="3">
        <v>-5.1000000000000004E-2</v>
      </c>
      <c r="AN50" s="3">
        <v>3.0000000000000027E-3</v>
      </c>
      <c r="AO50" s="3">
        <v>-0.32399999999999995</v>
      </c>
      <c r="AP50" s="3">
        <v>0.32900000000000007</v>
      </c>
      <c r="AQ50" s="3">
        <v>0.34500000000000003</v>
      </c>
      <c r="AR50" s="3">
        <v>0.36400000000000005</v>
      </c>
      <c r="AS50" s="3">
        <v>0.69200000000000006</v>
      </c>
      <c r="AT50" s="3">
        <v>0.71700000000000008</v>
      </c>
      <c r="AU50" s="3">
        <v>0.72000000000000008</v>
      </c>
      <c r="AV50">
        <v>0.72000000000000008</v>
      </c>
      <c r="AW50">
        <v>0.7370000000000001</v>
      </c>
      <c r="AX50">
        <v>0.75800000000000001</v>
      </c>
      <c r="AY50">
        <v>0.76200000000000001</v>
      </c>
      <c r="AZ50">
        <v>0.79200000000000004</v>
      </c>
      <c r="BA50">
        <v>0.78800000000000003</v>
      </c>
      <c r="BB50">
        <v>0.83400000000000007</v>
      </c>
      <c r="BC50">
        <v>0.82699999999999996</v>
      </c>
      <c r="BD50">
        <v>0.88600000000000001</v>
      </c>
    </row>
    <row r="51" spans="1:56">
      <c r="A51" t="s">
        <v>155</v>
      </c>
      <c r="B51" t="s">
        <v>156</v>
      </c>
      <c r="C51">
        <v>-2.1000000000000005E-2</v>
      </c>
      <c r="D51">
        <v>6.0999999999999999E-2</v>
      </c>
      <c r="E51">
        <v>-2.0000000000000018E-3</v>
      </c>
      <c r="F51">
        <v>0.10800000000000004</v>
      </c>
      <c r="G51">
        <v>0.20300000000000001</v>
      </c>
      <c r="H51">
        <v>0.14299999999999999</v>
      </c>
      <c r="I51">
        <v>0.24399999999999997</v>
      </c>
      <c r="J51">
        <v>0.29999999999999993</v>
      </c>
      <c r="K51">
        <v>0.15599999999999997</v>
      </c>
      <c r="L51">
        <v>0.44400000000000001</v>
      </c>
      <c r="M51">
        <v>0.64999999999999991</v>
      </c>
      <c r="N51">
        <v>0.32600000000000007</v>
      </c>
      <c r="O51">
        <v>0.67500000000000004</v>
      </c>
      <c r="P51">
        <v>0.95399999999999996</v>
      </c>
      <c r="Q51">
        <v>0.76700000000000002</v>
      </c>
      <c r="R51">
        <v>0.75900000000000001</v>
      </c>
      <c r="S51">
        <v>0.92300000000000004</v>
      </c>
      <c r="T51">
        <v>0.70199999999999996</v>
      </c>
      <c r="U51" s="3">
        <v>3.0000000000000027E-3</v>
      </c>
      <c r="V51" s="3">
        <v>-3.0000000000000027E-3</v>
      </c>
      <c r="W51" s="3">
        <v>6.5999999999999989E-2</v>
      </c>
      <c r="X51" s="3">
        <v>0.28699999999999998</v>
      </c>
      <c r="Y51" s="3">
        <v>0.33400000000000002</v>
      </c>
      <c r="Z51" s="3">
        <v>0.33900000000000008</v>
      </c>
      <c r="AA51" s="3">
        <v>0.59000000000000008</v>
      </c>
      <c r="AB51" s="3">
        <v>0.61599999999999999</v>
      </c>
      <c r="AC51" s="3">
        <v>0.56400000000000006</v>
      </c>
      <c r="AD51" s="3">
        <v>0.752</v>
      </c>
      <c r="AE51" s="3">
        <v>0.74399999999999999</v>
      </c>
      <c r="AF51" s="3">
        <v>0.73199999999999998</v>
      </c>
      <c r="AG51" s="3">
        <v>0.78799999999999992</v>
      </c>
      <c r="AH51" s="3">
        <v>0.74099999999999999</v>
      </c>
      <c r="AI51" s="3">
        <v>0.70500000000000007</v>
      </c>
      <c r="AJ51" s="3">
        <v>0.95400000000000007</v>
      </c>
      <c r="AK51" s="3">
        <v>0.79699999999999993</v>
      </c>
      <c r="AL51" s="3">
        <v>0.77200000000000002</v>
      </c>
      <c r="AM51" s="3">
        <v>-5.4000000000000006E-2</v>
      </c>
      <c r="AN51" s="3">
        <v>-2.9999999999999888E-3</v>
      </c>
      <c r="AO51" s="3">
        <v>-0.307</v>
      </c>
      <c r="AP51" s="3">
        <v>0.33000000000000007</v>
      </c>
      <c r="AQ51" s="3">
        <v>0.30499999999999999</v>
      </c>
      <c r="AR51" s="3">
        <v>0.34700000000000003</v>
      </c>
      <c r="AS51" s="3">
        <v>0.61</v>
      </c>
      <c r="AT51" s="3">
        <v>0.58400000000000007</v>
      </c>
      <c r="AU51" s="3">
        <v>0.626</v>
      </c>
      <c r="AV51">
        <v>0.74299999999999999</v>
      </c>
      <c r="AW51">
        <v>0.73399999999999999</v>
      </c>
      <c r="AX51">
        <v>0.74199999999999999</v>
      </c>
      <c r="AY51">
        <v>0.76600000000000001</v>
      </c>
      <c r="AZ51">
        <v>0.77200000000000002</v>
      </c>
      <c r="BA51">
        <v>0.77</v>
      </c>
      <c r="BB51">
        <v>0.82099999999999995</v>
      </c>
      <c r="BC51">
        <v>0.81299999999999994</v>
      </c>
      <c r="BD51">
        <v>0.82199999999999995</v>
      </c>
    </row>
    <row r="52" spans="1:56">
      <c r="A52" t="s">
        <v>157</v>
      </c>
      <c r="B52" t="s">
        <v>158</v>
      </c>
      <c r="C52">
        <v>1.0000000000000009E-3</v>
      </c>
      <c r="D52">
        <v>0.10300000000000001</v>
      </c>
      <c r="E52">
        <v>-1.100000000000001E-2</v>
      </c>
      <c r="F52">
        <v>0.37700000000000006</v>
      </c>
      <c r="G52">
        <v>0.52400000000000002</v>
      </c>
      <c r="H52">
        <v>0.38800000000000001</v>
      </c>
      <c r="I52">
        <v>1.173</v>
      </c>
      <c r="J52">
        <v>1.2069999999999999</v>
      </c>
      <c r="K52">
        <v>1.0660000000000001</v>
      </c>
      <c r="L52">
        <v>1.0490000000000002</v>
      </c>
      <c r="M52">
        <v>1.06</v>
      </c>
      <c r="N52">
        <v>0.96899999999999997</v>
      </c>
      <c r="O52">
        <v>0.90700000000000003</v>
      </c>
      <c r="P52">
        <v>1.0149999999999999</v>
      </c>
      <c r="Q52">
        <v>0.89400000000000013</v>
      </c>
      <c r="R52">
        <v>0.8929999999999999</v>
      </c>
      <c r="S52">
        <v>0.98799999999999999</v>
      </c>
      <c r="T52">
        <v>0.88700000000000001</v>
      </c>
      <c r="U52" s="3">
        <v>3.0000000000000027E-3</v>
      </c>
      <c r="V52" s="3">
        <v>3.0000000000000027E-3</v>
      </c>
      <c r="W52" s="3">
        <v>7.4999999999999997E-2</v>
      </c>
      <c r="X52" s="3">
        <v>0.53200000000000003</v>
      </c>
      <c r="Y52" s="3">
        <v>0.55600000000000005</v>
      </c>
      <c r="Z52" s="3">
        <v>0.58000000000000007</v>
      </c>
      <c r="AA52" s="3">
        <v>1.0899999999999999</v>
      </c>
      <c r="AB52" s="3">
        <v>1.0940000000000001</v>
      </c>
      <c r="AC52" s="3">
        <v>1.0820000000000001</v>
      </c>
      <c r="AD52" s="3">
        <v>1.002</v>
      </c>
      <c r="AE52" s="3">
        <v>1.01</v>
      </c>
      <c r="AF52" s="3">
        <v>1.0150000000000001</v>
      </c>
      <c r="AG52" s="3">
        <v>0.97099999999999997</v>
      </c>
      <c r="AH52" s="3">
        <v>0.97599999999999998</v>
      </c>
      <c r="AI52" s="3">
        <v>0.95899999999999996</v>
      </c>
      <c r="AJ52" s="3">
        <v>0.96499999999999997</v>
      </c>
      <c r="AK52" s="3">
        <v>0.96599999999999997</v>
      </c>
      <c r="AL52" s="3">
        <v>0.97100000000000009</v>
      </c>
      <c r="AM52" s="3">
        <v>-3.7000000000000005E-2</v>
      </c>
      <c r="AN52" s="3">
        <v>1.6E-2</v>
      </c>
      <c r="AO52" s="3">
        <v>-0.32299999999999995</v>
      </c>
      <c r="AP52" s="3">
        <v>0.50600000000000001</v>
      </c>
      <c r="AQ52" s="3">
        <v>0.52200000000000002</v>
      </c>
      <c r="AR52" s="3">
        <v>0.49200000000000005</v>
      </c>
      <c r="AS52" s="3">
        <v>1.1020000000000001</v>
      </c>
      <c r="AT52" s="3">
        <v>1.0799999999999998</v>
      </c>
      <c r="AU52" s="3">
        <v>1.0759999999999998</v>
      </c>
      <c r="AV52">
        <v>1.0429999999999999</v>
      </c>
      <c r="AW52">
        <v>1.0539999999999998</v>
      </c>
      <c r="AX52">
        <v>1.0640000000000001</v>
      </c>
      <c r="AY52">
        <v>0.99399999999999999</v>
      </c>
      <c r="AZ52">
        <v>0.99700000000000011</v>
      </c>
      <c r="BA52">
        <v>0.99900000000000011</v>
      </c>
      <c r="BB52">
        <v>0.9910000000000001</v>
      </c>
      <c r="BC52">
        <v>0.98499999999999988</v>
      </c>
      <c r="BD52">
        <v>1.0499999999999998</v>
      </c>
    </row>
    <row r="53" spans="1:56">
      <c r="A53" t="s">
        <v>159</v>
      </c>
      <c r="B53" t="s">
        <v>160</v>
      </c>
      <c r="C53">
        <v>7.0000000000000007E-2</v>
      </c>
      <c r="D53">
        <v>0.128</v>
      </c>
      <c r="E53">
        <v>-1.6000000000000014E-2</v>
      </c>
      <c r="F53">
        <v>0.39499999999999996</v>
      </c>
      <c r="G53">
        <v>0.58400000000000007</v>
      </c>
      <c r="H53">
        <v>0.45799999999999996</v>
      </c>
      <c r="I53">
        <v>0.87999999999999989</v>
      </c>
      <c r="J53">
        <v>0.98499999999999988</v>
      </c>
      <c r="K53">
        <v>0.83299999999999996</v>
      </c>
      <c r="L53">
        <v>1.141</v>
      </c>
      <c r="M53">
        <v>1.2410000000000001</v>
      </c>
      <c r="N53">
        <v>0.76200000000000001</v>
      </c>
      <c r="O53">
        <v>1.2870000000000001</v>
      </c>
      <c r="P53">
        <v>1.4450000000000001</v>
      </c>
      <c r="Q53">
        <v>0.90700000000000003</v>
      </c>
      <c r="R53">
        <v>1.105</v>
      </c>
      <c r="S53">
        <v>1.4530000000000001</v>
      </c>
      <c r="T53">
        <v>1.083</v>
      </c>
      <c r="U53" s="3">
        <v>1.0000000000000009E-3</v>
      </c>
      <c r="V53" s="3">
        <v>1.6E-2</v>
      </c>
      <c r="W53" s="3">
        <v>7.8E-2</v>
      </c>
      <c r="X53" s="3">
        <v>0.51600000000000001</v>
      </c>
      <c r="Y53" s="3">
        <v>0.56800000000000006</v>
      </c>
      <c r="Z53" s="3">
        <v>0.58800000000000008</v>
      </c>
      <c r="AA53" s="3">
        <v>0.82100000000000006</v>
      </c>
      <c r="AB53" s="3">
        <v>0.83200000000000007</v>
      </c>
      <c r="AC53" s="3">
        <v>0.83899999999999997</v>
      </c>
      <c r="AD53" s="3">
        <v>0.89900000000000013</v>
      </c>
      <c r="AE53" s="3">
        <v>0.93200000000000005</v>
      </c>
      <c r="AF53" s="3">
        <v>0.93500000000000005</v>
      </c>
      <c r="AG53" s="3">
        <v>0.96299999999999997</v>
      </c>
      <c r="AH53" s="3">
        <v>0.97100000000000009</v>
      </c>
      <c r="AI53" s="3">
        <v>1.0009999999999999</v>
      </c>
      <c r="AJ53" s="3">
        <v>0.99299999999999999</v>
      </c>
      <c r="AK53" s="3">
        <v>1.018</v>
      </c>
      <c r="AL53" s="3">
        <v>1.0649999999999999</v>
      </c>
      <c r="AM53" s="3">
        <v>-5.3000000000000005E-2</v>
      </c>
      <c r="AN53" s="3">
        <v>1.2000000000000011E-2</v>
      </c>
      <c r="AO53" s="3">
        <v>-0.30099999999999999</v>
      </c>
      <c r="AP53" s="3">
        <v>0.45500000000000007</v>
      </c>
      <c r="AQ53" s="3">
        <v>0.51</v>
      </c>
      <c r="AR53" s="3">
        <v>0.48200000000000004</v>
      </c>
      <c r="AS53" s="3">
        <v>0.82200000000000006</v>
      </c>
      <c r="AT53" s="3">
        <v>0.81599999999999984</v>
      </c>
      <c r="AU53" s="3">
        <v>0.85500000000000009</v>
      </c>
      <c r="AV53">
        <v>0.92600000000000005</v>
      </c>
      <c r="AW53">
        <v>0.90100000000000002</v>
      </c>
      <c r="AX53">
        <v>0.95500000000000007</v>
      </c>
      <c r="AY53">
        <v>0.98399999999999999</v>
      </c>
      <c r="AZ53">
        <v>0.94199999999999995</v>
      </c>
      <c r="BA53">
        <v>1.0110000000000001</v>
      </c>
      <c r="BB53">
        <v>1.0270000000000001</v>
      </c>
      <c r="BC53">
        <v>0.98099999999999987</v>
      </c>
      <c r="BD53">
        <v>1.119</v>
      </c>
    </row>
    <row r="54" spans="1:56">
      <c r="A54" t="s">
        <v>161</v>
      </c>
      <c r="B54" t="s">
        <v>162</v>
      </c>
      <c r="C54">
        <v>8.299999999999999E-2</v>
      </c>
      <c r="D54">
        <v>0.124</v>
      </c>
      <c r="E54">
        <v>8.9999999999999802E-3</v>
      </c>
      <c r="F54">
        <v>0.20100000000000001</v>
      </c>
      <c r="G54">
        <v>0.43099999999999999</v>
      </c>
      <c r="H54">
        <v>0.27700000000000002</v>
      </c>
      <c r="I54">
        <v>0.71899999999999997</v>
      </c>
      <c r="J54">
        <v>0.88300000000000001</v>
      </c>
      <c r="K54">
        <v>0.72</v>
      </c>
      <c r="L54">
        <v>0.75800000000000001</v>
      </c>
      <c r="M54">
        <v>0.93300000000000005</v>
      </c>
      <c r="N54">
        <v>0.75900000000000001</v>
      </c>
      <c r="O54">
        <v>0.79499999999999993</v>
      </c>
      <c r="P54">
        <v>0.94599999999999995</v>
      </c>
      <c r="Q54">
        <v>0.77700000000000002</v>
      </c>
      <c r="R54">
        <v>0.69499999999999995</v>
      </c>
      <c r="S54">
        <v>0.92500000000000004</v>
      </c>
      <c r="T54">
        <v>0.75499999999999989</v>
      </c>
      <c r="U54" s="3">
        <v>3.1999999999999987E-2</v>
      </c>
      <c r="V54" s="3">
        <v>3.0000000000000013E-2</v>
      </c>
      <c r="W54" s="3">
        <v>7.3999999999999996E-2</v>
      </c>
      <c r="X54" s="3">
        <v>0.20900000000000002</v>
      </c>
      <c r="Y54" s="3">
        <v>0.37699999999999995</v>
      </c>
      <c r="Z54" s="3">
        <v>0.40700000000000003</v>
      </c>
      <c r="AA54" s="3">
        <v>0.68900000000000006</v>
      </c>
      <c r="AB54" s="3">
        <v>0.73699999999999999</v>
      </c>
      <c r="AC54" s="3">
        <v>0.72399999999999998</v>
      </c>
      <c r="AD54" s="3">
        <v>0.73699999999999999</v>
      </c>
      <c r="AE54" s="3">
        <v>0.78400000000000003</v>
      </c>
      <c r="AF54" s="3">
        <v>0.79300000000000004</v>
      </c>
      <c r="AG54" s="3">
        <v>0.78500000000000003</v>
      </c>
      <c r="AH54" s="3">
        <v>0.79200000000000004</v>
      </c>
      <c r="AI54" s="3">
        <v>0.77999999999999992</v>
      </c>
      <c r="AJ54" s="3">
        <v>0.83100000000000007</v>
      </c>
      <c r="AK54" s="3">
        <v>0.82800000000000007</v>
      </c>
      <c r="AL54" s="3">
        <v>0.81200000000000006</v>
      </c>
      <c r="AM54" s="3">
        <v>-3.1E-2</v>
      </c>
      <c r="AN54" s="3">
        <v>2.0000000000000018E-3</v>
      </c>
      <c r="AO54" s="3">
        <v>-0.28300000000000003</v>
      </c>
      <c r="AP54" s="3">
        <v>0.34400000000000008</v>
      </c>
      <c r="AQ54" s="3">
        <v>0.27</v>
      </c>
      <c r="AR54" s="3">
        <v>0.13300000000000001</v>
      </c>
      <c r="AS54" s="3">
        <v>0.71700000000000008</v>
      </c>
      <c r="AT54" s="3">
        <v>0.71900000000000008</v>
      </c>
      <c r="AU54" s="3">
        <v>0.70900000000000007</v>
      </c>
      <c r="AV54">
        <v>0.755</v>
      </c>
      <c r="AW54">
        <v>0.75499999999999989</v>
      </c>
      <c r="AX54">
        <v>0.80899999999999994</v>
      </c>
      <c r="AY54">
        <v>0.80400000000000005</v>
      </c>
      <c r="AZ54">
        <v>0.78300000000000003</v>
      </c>
      <c r="BA54">
        <v>0.83499999999999996</v>
      </c>
      <c r="BB54">
        <v>0.85200000000000009</v>
      </c>
      <c r="BC54">
        <v>0.81899999999999995</v>
      </c>
      <c r="BD54">
        <v>0.94000000000000006</v>
      </c>
    </row>
    <row r="55" spans="1:56">
      <c r="A55" t="s">
        <v>163</v>
      </c>
      <c r="B55" t="s">
        <v>164</v>
      </c>
      <c r="C55">
        <v>3.8000000000000006E-2</v>
      </c>
      <c r="D55">
        <v>0.14600000000000002</v>
      </c>
      <c r="E55">
        <v>-2.9000000000000012E-2</v>
      </c>
      <c r="F55">
        <v>2.8000000000000025E-2</v>
      </c>
      <c r="G55">
        <v>0.188</v>
      </c>
      <c r="H55">
        <v>7.5999999999999984E-2</v>
      </c>
      <c r="I55">
        <v>5.4999999999999993E-2</v>
      </c>
      <c r="J55">
        <v>0.19099999999999998</v>
      </c>
      <c r="K55">
        <v>2.2999999999999993E-2</v>
      </c>
      <c r="L55">
        <v>-2.1999999999999992E-2</v>
      </c>
      <c r="M55">
        <v>0.186</v>
      </c>
      <c r="N55">
        <v>-9.000000000000008E-3</v>
      </c>
      <c r="O55">
        <v>-2.7999999999999997E-2</v>
      </c>
      <c r="P55">
        <v>0.187</v>
      </c>
      <c r="Q55">
        <v>-1.0000000000000009E-3</v>
      </c>
      <c r="R55">
        <v>1.0000000000000009E-3</v>
      </c>
      <c r="S55">
        <v>0.22300000000000003</v>
      </c>
      <c r="T55">
        <v>1.0999999999999982E-2</v>
      </c>
      <c r="U55" s="3">
        <v>2.700000000000001E-2</v>
      </c>
      <c r="V55" s="3">
        <v>5.0000000000000044E-3</v>
      </c>
      <c r="W55" s="3">
        <v>5.4000000000000006E-2</v>
      </c>
      <c r="X55" s="3">
        <v>3.6000000000000004E-2</v>
      </c>
      <c r="Y55" s="3">
        <v>3.6000000000000004E-2</v>
      </c>
      <c r="Z55" s="3">
        <v>6.7000000000000032E-2</v>
      </c>
      <c r="AA55" s="3">
        <v>2.0000000000000018E-2</v>
      </c>
      <c r="AB55" s="3">
        <v>2.8000000000000025E-2</v>
      </c>
      <c r="AC55" s="3">
        <v>2.0000000000000018E-2</v>
      </c>
      <c r="AD55" s="3">
        <v>2.1999999999999992E-2</v>
      </c>
      <c r="AE55" s="3">
        <v>3.6000000000000004E-2</v>
      </c>
      <c r="AF55" s="3">
        <v>5.1000000000000018E-2</v>
      </c>
      <c r="AG55" s="3">
        <v>1.7999999999999988E-2</v>
      </c>
      <c r="AH55" s="3">
        <v>2.2999999999999993E-2</v>
      </c>
      <c r="AI55" s="3">
        <v>3.1E-2</v>
      </c>
      <c r="AJ55" s="3">
        <v>1.4000000000000012E-2</v>
      </c>
      <c r="AK55" s="3">
        <v>3.3999999999999975E-2</v>
      </c>
      <c r="AL55" s="3">
        <v>5.999999999999997E-2</v>
      </c>
      <c r="AM55" s="3">
        <v>-5.5000000000000007E-2</v>
      </c>
      <c r="AN55" s="3">
        <v>9.000000000000008E-3</v>
      </c>
      <c r="AO55" s="3">
        <v>-0.30099999999999999</v>
      </c>
      <c r="AP55" s="3">
        <v>-3.4000000000000002E-2</v>
      </c>
      <c r="AQ55" s="3">
        <v>2.1000000000000019E-2</v>
      </c>
      <c r="AR55" s="3">
        <v>8.6000000000000021E-2</v>
      </c>
      <c r="AS55" s="3">
        <v>-0.03</v>
      </c>
      <c r="AT55" s="3">
        <v>2.4999999999999994E-2</v>
      </c>
      <c r="AU55" s="3">
        <v>3.6000000000000004E-2</v>
      </c>
      <c r="AV55">
        <v>-2.7999999999999997E-2</v>
      </c>
      <c r="AW55">
        <v>1.6999999999999987E-2</v>
      </c>
      <c r="AX55">
        <v>4.6999999999999986E-2</v>
      </c>
      <c r="AY55">
        <v>-3.1E-2</v>
      </c>
      <c r="AZ55">
        <v>1.5000000000000013E-2</v>
      </c>
      <c r="BA55">
        <v>4.4000000000000011E-2</v>
      </c>
      <c r="BB55">
        <v>-3.4000000000000002E-2</v>
      </c>
      <c r="BC55">
        <v>4.9999999999999767E-3</v>
      </c>
      <c r="BD55">
        <v>0.10700000000000001</v>
      </c>
    </row>
    <row r="56" spans="1:56">
      <c r="A56" t="s">
        <v>165</v>
      </c>
      <c r="B56" t="s">
        <v>166</v>
      </c>
      <c r="C56">
        <v>-1.0999999999999996E-2</v>
      </c>
      <c r="D56">
        <v>0.10500000000000001</v>
      </c>
      <c r="E56">
        <v>-2.0000000000000018E-3</v>
      </c>
      <c r="F56">
        <v>0.55200000000000005</v>
      </c>
      <c r="G56">
        <v>0.73799999999999999</v>
      </c>
      <c r="H56">
        <v>0.55999999999999994</v>
      </c>
      <c r="I56">
        <v>1.0569999999999999</v>
      </c>
      <c r="J56">
        <v>1.1599999999999999</v>
      </c>
      <c r="K56">
        <v>1.002</v>
      </c>
      <c r="L56">
        <v>0.77</v>
      </c>
      <c r="M56">
        <v>0.95500000000000007</v>
      </c>
      <c r="N56">
        <v>0.83900000000000008</v>
      </c>
      <c r="O56">
        <v>0.7649999999999999</v>
      </c>
      <c r="P56">
        <v>0.94599999999999995</v>
      </c>
      <c r="Q56">
        <v>0.78300000000000003</v>
      </c>
      <c r="R56">
        <v>0.746</v>
      </c>
      <c r="S56">
        <v>0.92200000000000015</v>
      </c>
      <c r="T56">
        <v>0.78899999999999992</v>
      </c>
      <c r="U56" s="3">
        <v>6.9999999999999993E-2</v>
      </c>
      <c r="V56" s="3">
        <v>1.9000000000000003E-2</v>
      </c>
      <c r="W56" s="3">
        <v>4.9000000000000002E-2</v>
      </c>
      <c r="X56" s="3">
        <v>0.62799999999999989</v>
      </c>
      <c r="Y56" s="3">
        <v>0.67599999999999993</v>
      </c>
      <c r="Z56" s="3">
        <v>0.64100000000000001</v>
      </c>
      <c r="AA56" s="3">
        <v>0.92099999999999993</v>
      </c>
      <c r="AB56" s="3">
        <v>0.94300000000000006</v>
      </c>
      <c r="AC56" s="3">
        <v>0.94799999999999995</v>
      </c>
      <c r="AD56" s="3">
        <v>1.0479999999999998</v>
      </c>
      <c r="AE56" s="3">
        <v>1.024</v>
      </c>
      <c r="AF56" s="3">
        <v>0.98100000000000009</v>
      </c>
      <c r="AG56" s="3">
        <v>0.98499999999999999</v>
      </c>
      <c r="AH56" s="3">
        <v>0.95799999999999996</v>
      </c>
      <c r="AI56" s="3">
        <v>0.91099999999999992</v>
      </c>
      <c r="AJ56" s="3">
        <v>0.98099999999999998</v>
      </c>
      <c r="AK56" s="3">
        <v>0.97900000000000009</v>
      </c>
      <c r="AL56" s="3">
        <v>0.91999999999999993</v>
      </c>
      <c r="AM56" s="3">
        <v>-5.7000000000000009E-2</v>
      </c>
      <c r="AN56" s="3">
        <v>-5.9999999999999915E-3</v>
      </c>
      <c r="AO56" s="3">
        <v>-0.28899999999999998</v>
      </c>
      <c r="AP56" s="3">
        <v>0.65200000000000002</v>
      </c>
      <c r="AQ56" s="3">
        <v>0.63100000000000001</v>
      </c>
      <c r="AR56" s="3">
        <v>0.6359999999999999</v>
      </c>
      <c r="AS56" s="3">
        <v>1.0070000000000001</v>
      </c>
      <c r="AT56" s="3">
        <v>0.98399999999999999</v>
      </c>
      <c r="AU56" s="3">
        <v>0.92600000000000005</v>
      </c>
      <c r="AV56">
        <v>0.96800000000000008</v>
      </c>
      <c r="AW56">
        <v>0.94899999999999984</v>
      </c>
      <c r="AX56">
        <v>1.008</v>
      </c>
      <c r="AY56">
        <v>0.92300000000000004</v>
      </c>
      <c r="AZ56">
        <v>0.91000000000000014</v>
      </c>
      <c r="BA56">
        <v>0.95799999999999996</v>
      </c>
      <c r="BB56">
        <v>0.93599999999999994</v>
      </c>
      <c r="BC56">
        <v>0.91700000000000004</v>
      </c>
      <c r="BD56">
        <v>1.008</v>
      </c>
    </row>
    <row r="57" spans="1:56">
      <c r="A57" t="s">
        <v>167</v>
      </c>
      <c r="B57" t="s">
        <v>168</v>
      </c>
      <c r="C57">
        <v>-6.9999999999999923E-3</v>
      </c>
      <c r="D57">
        <v>1.6000000000000014E-2</v>
      </c>
      <c r="E57">
        <v>-4.0000000000000036E-3</v>
      </c>
      <c r="F57">
        <v>0.39799999999999996</v>
      </c>
      <c r="G57">
        <v>0.49900000000000005</v>
      </c>
      <c r="H57">
        <v>0.43999999999999995</v>
      </c>
      <c r="I57">
        <v>1.06</v>
      </c>
      <c r="J57">
        <v>1.054</v>
      </c>
      <c r="K57">
        <v>0.9890000000000001</v>
      </c>
      <c r="L57">
        <v>1.1520000000000001</v>
      </c>
      <c r="M57">
        <v>1.1440000000000001</v>
      </c>
      <c r="N57">
        <v>1.0399999999999998</v>
      </c>
      <c r="O57">
        <v>1.113</v>
      </c>
      <c r="P57">
        <v>1.1850000000000001</v>
      </c>
      <c r="Q57">
        <v>1.115</v>
      </c>
      <c r="R57">
        <v>1.0470000000000002</v>
      </c>
      <c r="S57">
        <v>1.1900000000000002</v>
      </c>
      <c r="T57">
        <v>1.109</v>
      </c>
      <c r="U57" s="3">
        <v>2.1000000000000005E-2</v>
      </c>
      <c r="V57" s="3">
        <v>3.3999999999999989E-2</v>
      </c>
      <c r="W57" s="3">
        <v>4.3999999999999997E-2</v>
      </c>
      <c r="X57" s="3">
        <v>0.438</v>
      </c>
      <c r="Y57" s="3">
        <v>0.49799999999999994</v>
      </c>
      <c r="Z57" s="3">
        <v>0.47100000000000009</v>
      </c>
      <c r="AA57" s="3">
        <v>0.93099999999999994</v>
      </c>
      <c r="AB57" s="3">
        <v>0.95700000000000007</v>
      </c>
      <c r="AC57" s="3">
        <v>0.90900000000000003</v>
      </c>
      <c r="AD57" s="3">
        <v>1.032</v>
      </c>
      <c r="AE57" s="3">
        <v>1.0669999999999999</v>
      </c>
      <c r="AF57" s="3">
        <v>1.0449999999999999</v>
      </c>
      <c r="AG57" s="3">
        <v>1.02</v>
      </c>
      <c r="AH57" s="3">
        <v>1.0330000000000001</v>
      </c>
      <c r="AI57" s="3">
        <v>0.9920000000000001</v>
      </c>
      <c r="AJ57" s="3">
        <v>1.01</v>
      </c>
      <c r="AK57" s="3">
        <v>1.042</v>
      </c>
      <c r="AL57" s="3">
        <v>0.9850000000000001</v>
      </c>
      <c r="AM57" s="3">
        <v>-4.2999999999999997E-2</v>
      </c>
      <c r="AN57" s="3">
        <v>6.0000000000000053E-3</v>
      </c>
      <c r="AO57" s="3">
        <v>-0.25700000000000001</v>
      </c>
      <c r="AP57" s="3">
        <v>0.379</v>
      </c>
      <c r="AQ57" s="3">
        <v>0.39999999999999997</v>
      </c>
      <c r="AR57" s="3">
        <v>0.37799999999999995</v>
      </c>
      <c r="AS57" s="3">
        <v>0.86299999999999999</v>
      </c>
      <c r="AT57" s="3">
        <v>0.87399999999999989</v>
      </c>
      <c r="AU57" s="3">
        <v>0.88200000000000001</v>
      </c>
      <c r="AV57">
        <v>0.97200000000000009</v>
      </c>
      <c r="AW57">
        <v>0.99499999999999988</v>
      </c>
      <c r="AX57">
        <v>1.0230000000000001</v>
      </c>
      <c r="AY57">
        <v>0.99900000000000011</v>
      </c>
      <c r="AZ57">
        <v>1.0110000000000001</v>
      </c>
      <c r="BA57">
        <v>1.0720000000000001</v>
      </c>
      <c r="BB57">
        <v>0.97399999999999998</v>
      </c>
      <c r="BC57">
        <v>0.99</v>
      </c>
      <c r="BD57">
        <v>1.0519999999999998</v>
      </c>
    </row>
    <row r="58" spans="1:56">
      <c r="A58" t="s">
        <v>169</v>
      </c>
      <c r="B58" t="s">
        <v>170</v>
      </c>
      <c r="C58">
        <v>2.0000000000000018E-3</v>
      </c>
      <c r="D58">
        <v>4.0000000000000036E-3</v>
      </c>
      <c r="E58">
        <v>1.0999999999999982E-2</v>
      </c>
      <c r="F58">
        <v>0.77899999999999991</v>
      </c>
      <c r="G58">
        <v>0.76600000000000001</v>
      </c>
      <c r="H58">
        <v>0.77199999999999991</v>
      </c>
      <c r="I58">
        <v>1.0620000000000001</v>
      </c>
      <c r="J58">
        <v>1.0429999999999999</v>
      </c>
      <c r="K58">
        <v>1.038</v>
      </c>
      <c r="L58">
        <v>1.2930000000000001</v>
      </c>
      <c r="M58">
        <v>1.292</v>
      </c>
      <c r="N58">
        <v>1.24</v>
      </c>
      <c r="O58">
        <v>1.0370000000000001</v>
      </c>
      <c r="P58">
        <v>1.0149999999999999</v>
      </c>
      <c r="Q58">
        <v>1.004</v>
      </c>
      <c r="R58">
        <v>0.94600000000000006</v>
      </c>
      <c r="S58">
        <v>0.95900000000000007</v>
      </c>
      <c r="T58">
        <v>0.95199999999999996</v>
      </c>
      <c r="U58" s="3">
        <v>1.4999999999999999E-2</v>
      </c>
      <c r="V58" s="3">
        <v>1.2999999999999998E-2</v>
      </c>
      <c r="W58" s="3">
        <v>3.2999999999999988E-2</v>
      </c>
      <c r="X58" s="3">
        <v>0.89300000000000002</v>
      </c>
      <c r="Y58" s="3">
        <v>0.71</v>
      </c>
      <c r="Z58" s="3">
        <v>0.72600000000000009</v>
      </c>
      <c r="AA58" s="3">
        <v>1.2609999999999999</v>
      </c>
      <c r="AB58" s="3">
        <v>0.96</v>
      </c>
      <c r="AC58" s="3">
        <v>0.91599999999999993</v>
      </c>
      <c r="AD58" s="3">
        <v>1.4289999999999998</v>
      </c>
      <c r="AE58" s="3">
        <v>1.1319999999999999</v>
      </c>
      <c r="AF58" s="3">
        <v>1.107</v>
      </c>
      <c r="AG58" s="3">
        <v>1.2169999999999999</v>
      </c>
      <c r="AH58" s="3">
        <v>1.0780000000000001</v>
      </c>
      <c r="AI58" s="3">
        <v>1.087</v>
      </c>
      <c r="AJ58" s="3">
        <v>1.1779999999999999</v>
      </c>
      <c r="AK58" s="3">
        <v>0.95500000000000007</v>
      </c>
      <c r="AL58" s="3">
        <v>0.93599999999999994</v>
      </c>
      <c r="AM58" s="3">
        <v>-4.3999999999999997E-2</v>
      </c>
      <c r="AN58" s="3">
        <v>5.0000000000000044E-3</v>
      </c>
      <c r="AO58" s="3">
        <v>-0.3</v>
      </c>
      <c r="AP58" s="3">
        <v>0.69500000000000006</v>
      </c>
      <c r="AQ58" s="3">
        <v>0.68799999999999994</v>
      </c>
      <c r="AR58" s="3">
        <v>0.77899999999999991</v>
      </c>
      <c r="AS58" s="3">
        <v>0.996</v>
      </c>
      <c r="AT58" s="3">
        <v>1.022</v>
      </c>
      <c r="AU58" s="3">
        <v>0.98299999999999998</v>
      </c>
      <c r="AV58">
        <v>1.141</v>
      </c>
      <c r="AW58">
        <v>1.1399999999999999</v>
      </c>
      <c r="AX58">
        <v>1.119</v>
      </c>
      <c r="AY58">
        <v>0.89800000000000013</v>
      </c>
      <c r="AZ58">
        <v>0.90000000000000013</v>
      </c>
      <c r="BA58">
        <v>0.93599999999999994</v>
      </c>
      <c r="BB58">
        <v>0.88800000000000012</v>
      </c>
      <c r="BC58">
        <v>0.89599999999999991</v>
      </c>
      <c r="BD58">
        <v>0.90900000000000014</v>
      </c>
    </row>
    <row r="59" spans="1:56">
      <c r="A59" t="s">
        <v>171</v>
      </c>
      <c r="B59" t="s">
        <v>172</v>
      </c>
      <c r="C59">
        <v>-2.5999999999999995E-2</v>
      </c>
      <c r="D59">
        <v>-9.999999999999995E-3</v>
      </c>
      <c r="E59">
        <v>-3.4000000000000002E-2</v>
      </c>
      <c r="F59">
        <v>0.86499999999999999</v>
      </c>
      <c r="G59">
        <v>0.97799999999999998</v>
      </c>
      <c r="H59">
        <v>0.94100000000000006</v>
      </c>
      <c r="I59">
        <v>1.365</v>
      </c>
      <c r="J59">
        <v>1.371</v>
      </c>
      <c r="K59">
        <v>1.2810000000000001</v>
      </c>
      <c r="L59">
        <v>1.57</v>
      </c>
      <c r="M59">
        <v>1.325</v>
      </c>
      <c r="N59">
        <v>1.3069999999999999</v>
      </c>
      <c r="O59">
        <v>1.165</v>
      </c>
      <c r="P59">
        <v>1.1639999999999999</v>
      </c>
      <c r="Q59">
        <v>1.1060000000000001</v>
      </c>
      <c r="R59">
        <v>1.0580000000000001</v>
      </c>
      <c r="S59">
        <v>1.1760000000000002</v>
      </c>
      <c r="T59">
        <v>1.2609999999999999</v>
      </c>
      <c r="U59" s="3">
        <v>-7.0000000000000062E-3</v>
      </c>
      <c r="V59" s="3">
        <v>-2.0000000000000018E-3</v>
      </c>
      <c r="W59" s="3">
        <v>-2.0000000000000018E-3</v>
      </c>
      <c r="X59" s="3">
        <v>0.80800000000000005</v>
      </c>
      <c r="Y59" s="3">
        <v>0.8600000000000001</v>
      </c>
      <c r="Z59" s="3">
        <v>0.8580000000000001</v>
      </c>
      <c r="AA59" s="3">
        <v>1.1889999999999998</v>
      </c>
      <c r="AB59" s="3">
        <v>1.22</v>
      </c>
      <c r="AC59" s="3">
        <v>1.2430000000000001</v>
      </c>
      <c r="AD59" s="3">
        <v>1.2899999999999998</v>
      </c>
      <c r="AE59" s="3">
        <v>1.3149999999999999</v>
      </c>
      <c r="AF59" s="3">
        <v>1.3740000000000001</v>
      </c>
      <c r="AG59" s="3">
        <v>1.264</v>
      </c>
      <c r="AH59" s="3">
        <v>1.2610000000000001</v>
      </c>
      <c r="AI59" s="3">
        <v>1.3149999999999999</v>
      </c>
      <c r="AJ59" s="3">
        <v>1.204</v>
      </c>
      <c r="AK59" s="3">
        <v>1.226</v>
      </c>
      <c r="AL59" s="3">
        <v>1.2330000000000001</v>
      </c>
      <c r="AM59" s="3">
        <v>-5.7000000000000009E-2</v>
      </c>
      <c r="AN59" s="3">
        <v>-2.0000000000000018E-3</v>
      </c>
      <c r="AO59" s="3">
        <v>-0.38900000000000001</v>
      </c>
      <c r="AP59" s="3">
        <v>0.78999999999999992</v>
      </c>
      <c r="AQ59" s="3">
        <v>0.76800000000000002</v>
      </c>
      <c r="AR59" s="3">
        <v>0.70500000000000007</v>
      </c>
      <c r="AS59" s="3">
        <v>1.0920000000000001</v>
      </c>
      <c r="AT59" s="3">
        <v>1.113</v>
      </c>
      <c r="AU59" s="3">
        <v>1.0029999999999999</v>
      </c>
      <c r="AV59">
        <v>1.2409999999999999</v>
      </c>
      <c r="AW59">
        <v>1.2909999999999999</v>
      </c>
      <c r="AX59">
        <v>1.169</v>
      </c>
      <c r="AY59">
        <v>1.2090000000000001</v>
      </c>
      <c r="AZ59">
        <v>1.2790000000000001</v>
      </c>
      <c r="BA59">
        <v>1.258</v>
      </c>
      <c r="BB59">
        <v>1.155</v>
      </c>
      <c r="BC59">
        <v>1.2249999999999999</v>
      </c>
      <c r="BD59">
        <v>1.3079999999999998</v>
      </c>
    </row>
    <row r="60" spans="1:56">
      <c r="A60" t="s">
        <v>173</v>
      </c>
      <c r="B60" t="s">
        <v>174</v>
      </c>
      <c r="C60">
        <v>-3.0000000000000027E-3</v>
      </c>
      <c r="D60">
        <v>2.3999999999999994E-2</v>
      </c>
      <c r="E60">
        <v>1.1999999999999983E-2</v>
      </c>
      <c r="F60">
        <v>0.39899999999999997</v>
      </c>
      <c r="G60">
        <v>0.34500000000000003</v>
      </c>
      <c r="H60">
        <v>0.44599999999999995</v>
      </c>
      <c r="I60">
        <v>0.32199999999999995</v>
      </c>
      <c r="J60">
        <v>0.27800000000000002</v>
      </c>
      <c r="K60">
        <v>0.308</v>
      </c>
      <c r="L60">
        <v>0.29699999999999999</v>
      </c>
      <c r="M60">
        <v>0.25</v>
      </c>
      <c r="N60">
        <v>0.25800000000000001</v>
      </c>
      <c r="O60">
        <v>0.28699999999999998</v>
      </c>
      <c r="P60">
        <v>0.251</v>
      </c>
      <c r="Q60">
        <v>0.26900000000000002</v>
      </c>
      <c r="R60">
        <v>0.30200000000000005</v>
      </c>
      <c r="S60">
        <v>0.245</v>
      </c>
      <c r="T60">
        <v>0.27499999999999997</v>
      </c>
      <c r="U60" s="3">
        <v>2.3000000000000007E-2</v>
      </c>
      <c r="V60" s="3">
        <v>2.4000000000000007E-2</v>
      </c>
      <c r="W60" s="3">
        <v>6.7999999999999991E-2</v>
      </c>
      <c r="X60" s="3">
        <v>0.52899999999999991</v>
      </c>
      <c r="Y60" s="3">
        <v>0.51</v>
      </c>
      <c r="Z60" s="3">
        <v>0.48899999999999999</v>
      </c>
      <c r="AA60" s="3">
        <v>0.56700000000000006</v>
      </c>
      <c r="AB60" s="3">
        <v>0.47000000000000008</v>
      </c>
      <c r="AC60" s="3">
        <v>0.46000000000000008</v>
      </c>
      <c r="AD60" s="3">
        <v>0.55000000000000004</v>
      </c>
      <c r="AE60" s="3">
        <v>0.45700000000000007</v>
      </c>
      <c r="AF60" s="3">
        <v>0.45900000000000007</v>
      </c>
      <c r="AG60" s="3">
        <v>0.53300000000000003</v>
      </c>
      <c r="AH60" s="3">
        <v>0.43400000000000005</v>
      </c>
      <c r="AI60" s="3">
        <v>0.42700000000000005</v>
      </c>
      <c r="AJ60" s="3">
        <v>0.52</v>
      </c>
      <c r="AK60" s="3">
        <v>0.44700000000000001</v>
      </c>
      <c r="AL60" s="3">
        <v>0.41800000000000004</v>
      </c>
      <c r="AM60" s="3">
        <v>-2.1999999999999992E-2</v>
      </c>
      <c r="AN60" s="3">
        <v>3.0000000000000013E-2</v>
      </c>
      <c r="AO60" s="3">
        <v>-0.34199999999999997</v>
      </c>
      <c r="AP60" s="3">
        <v>0.499</v>
      </c>
      <c r="AQ60" s="3">
        <v>0.45800000000000002</v>
      </c>
      <c r="AR60" s="3">
        <v>0.47800000000000004</v>
      </c>
      <c r="AS60" s="3">
        <v>0.54600000000000004</v>
      </c>
      <c r="AT60" s="3">
        <v>0.46300000000000002</v>
      </c>
      <c r="AU60" s="3">
        <v>0.54500000000000004</v>
      </c>
      <c r="AV60">
        <v>0.53</v>
      </c>
      <c r="AW60">
        <v>0.45200000000000001</v>
      </c>
      <c r="AX60">
        <v>0.54099999999999993</v>
      </c>
      <c r="AY60">
        <v>0.51100000000000001</v>
      </c>
      <c r="AZ60">
        <v>0.43200000000000005</v>
      </c>
      <c r="BA60">
        <v>0.51700000000000002</v>
      </c>
      <c r="BB60">
        <v>0.51300000000000001</v>
      </c>
      <c r="BC60">
        <v>0.43099999999999999</v>
      </c>
      <c r="BD60">
        <v>0.51600000000000001</v>
      </c>
    </row>
    <row r="61" spans="1:56">
      <c r="A61" t="s">
        <v>175</v>
      </c>
      <c r="B61" t="s">
        <v>176</v>
      </c>
      <c r="C61">
        <v>-1.7000000000000001E-2</v>
      </c>
      <c r="D61">
        <v>8.0000000000000071E-3</v>
      </c>
      <c r="E61">
        <v>3.2000000000000001E-2</v>
      </c>
      <c r="F61">
        <v>2.4000000000000021E-2</v>
      </c>
      <c r="G61">
        <v>5.7000000000000023E-2</v>
      </c>
      <c r="H61">
        <v>5.4999999999999993E-2</v>
      </c>
      <c r="I61">
        <v>1.5999999999999986E-2</v>
      </c>
      <c r="J61">
        <v>3.999999999999998E-2</v>
      </c>
      <c r="K61">
        <v>-1.0000000000000009E-3</v>
      </c>
      <c r="L61">
        <v>-7.0000000000000062E-3</v>
      </c>
      <c r="M61">
        <v>3.1E-2</v>
      </c>
      <c r="N61">
        <v>-0.03</v>
      </c>
      <c r="O61">
        <v>-1.0000000000000009E-2</v>
      </c>
      <c r="P61">
        <v>4.300000000000001E-2</v>
      </c>
      <c r="Q61">
        <v>-1.5999999999999986E-2</v>
      </c>
      <c r="R61">
        <v>1.3999999999999985E-2</v>
      </c>
      <c r="S61">
        <v>3.8000000000000006E-2</v>
      </c>
      <c r="T61">
        <v>-2.0000000000000018E-3</v>
      </c>
      <c r="U61" s="3">
        <v>1.0000000000000009E-3</v>
      </c>
      <c r="V61" s="3">
        <v>1.2999999999999998E-2</v>
      </c>
      <c r="W61" s="3">
        <v>0.108</v>
      </c>
      <c r="X61" s="3">
        <v>7.3000000000000009E-2</v>
      </c>
      <c r="Y61" s="3">
        <v>7.2000000000000008E-2</v>
      </c>
      <c r="Z61" s="3">
        <v>9.7000000000000003E-2</v>
      </c>
      <c r="AA61" s="3">
        <v>7.3999999999999982E-2</v>
      </c>
      <c r="AB61" s="3">
        <v>6.9000000000000034E-2</v>
      </c>
      <c r="AC61" s="3">
        <v>5.1000000000000018E-2</v>
      </c>
      <c r="AD61" s="3">
        <v>6.8999999999999978E-2</v>
      </c>
      <c r="AE61" s="3">
        <v>7.3000000000000037E-2</v>
      </c>
      <c r="AF61" s="3">
        <v>7.5000000000000039E-2</v>
      </c>
      <c r="AG61" s="3">
        <v>6.6999999999999976E-2</v>
      </c>
      <c r="AH61" s="3">
        <v>5.8000000000000024E-2</v>
      </c>
      <c r="AI61" s="3">
        <v>4.4000000000000011E-2</v>
      </c>
      <c r="AJ61" s="3">
        <v>6.5999999999999975E-2</v>
      </c>
      <c r="AK61" s="3">
        <v>7.999999999999996E-2</v>
      </c>
      <c r="AL61" s="3">
        <v>3.9000000000000007E-2</v>
      </c>
      <c r="AM61" s="3">
        <v>-1.5000000000000013E-2</v>
      </c>
      <c r="AN61" s="3">
        <v>7.0000000000000062E-3</v>
      </c>
      <c r="AO61" s="3">
        <v>-0.26400000000000001</v>
      </c>
      <c r="AP61" s="3">
        <v>1.100000000000001E-2</v>
      </c>
      <c r="AQ61" s="3">
        <v>1.0000000000000009E-2</v>
      </c>
      <c r="AR61" s="3">
        <v>7.6000000000000012E-2</v>
      </c>
      <c r="AS61" s="3">
        <v>2.1000000000000019E-2</v>
      </c>
      <c r="AT61" s="3">
        <v>5.0000000000000044E-3</v>
      </c>
      <c r="AU61" s="3">
        <v>1.9000000000000017E-2</v>
      </c>
      <c r="AV61">
        <v>1.4000000000000012E-2</v>
      </c>
      <c r="AW61">
        <v>3.0000000000000027E-3</v>
      </c>
      <c r="AX61">
        <v>3.6999999999999977E-2</v>
      </c>
      <c r="AY61">
        <v>1.0000000000000009E-2</v>
      </c>
      <c r="AZ61">
        <v>-3.9999999999999758E-3</v>
      </c>
      <c r="BA61">
        <v>1.9000000000000017E-2</v>
      </c>
      <c r="BB61">
        <v>7.0000000000000062E-3</v>
      </c>
      <c r="BC61">
        <v>-5.0000000000000044E-3</v>
      </c>
      <c r="BD61">
        <v>6.2000000000000027E-2</v>
      </c>
    </row>
    <row r="62" spans="1:56">
      <c r="A62" t="s">
        <v>177</v>
      </c>
      <c r="B62" t="s">
        <v>178</v>
      </c>
      <c r="C62">
        <v>-2.7999999999999997E-2</v>
      </c>
      <c r="D62">
        <v>-1.9999999999999879E-3</v>
      </c>
      <c r="E62">
        <v>4.0000000000000036E-3</v>
      </c>
      <c r="F62">
        <v>1.8000000000000016E-2</v>
      </c>
      <c r="G62">
        <v>4.9000000000000016E-2</v>
      </c>
      <c r="H62">
        <v>6.0999999999999999E-2</v>
      </c>
      <c r="I62">
        <v>8.9999999999999802E-3</v>
      </c>
      <c r="J62">
        <v>4.8999999999999988E-2</v>
      </c>
      <c r="K62">
        <v>1.3999999999999985E-2</v>
      </c>
      <c r="L62">
        <v>-4.0000000000000036E-3</v>
      </c>
      <c r="M62">
        <v>4.6000000000000013E-2</v>
      </c>
      <c r="N62">
        <v>-6.0000000000000053E-3</v>
      </c>
      <c r="O62">
        <v>4.0000000000000008E-2</v>
      </c>
      <c r="P62">
        <v>5.5000000000000021E-2</v>
      </c>
      <c r="Q62">
        <v>9.000000000000008E-3</v>
      </c>
      <c r="R62">
        <v>2.2999999999999993E-2</v>
      </c>
      <c r="S62">
        <v>4.9000000000000016E-2</v>
      </c>
      <c r="T62">
        <v>2.1999999999999992E-2</v>
      </c>
      <c r="U62" s="3">
        <v>-6.0000000000000053E-3</v>
      </c>
      <c r="V62" s="3">
        <v>7.0000000000000062E-3</v>
      </c>
      <c r="W62" s="3">
        <v>6.9999999999999993E-2</v>
      </c>
      <c r="X62" s="3">
        <v>6.8000000000000005E-2</v>
      </c>
      <c r="Y62" s="3">
        <v>8.7999999999999967E-2</v>
      </c>
      <c r="Z62" s="3">
        <v>0.12800000000000003</v>
      </c>
      <c r="AA62" s="3">
        <v>6.3000000000000028E-2</v>
      </c>
      <c r="AB62" s="3">
        <v>8.3999999999999991E-2</v>
      </c>
      <c r="AC62" s="3">
        <v>7.6999999999999985E-2</v>
      </c>
      <c r="AD62" s="3">
        <v>5.9000000000000025E-2</v>
      </c>
      <c r="AE62" s="3">
        <v>8.8999999999999996E-2</v>
      </c>
      <c r="AF62" s="3">
        <v>9.7000000000000003E-2</v>
      </c>
      <c r="AG62" s="3">
        <v>6.1000000000000026E-2</v>
      </c>
      <c r="AH62" s="3">
        <v>7.8999999999999987E-2</v>
      </c>
      <c r="AI62" s="3">
        <v>6.2999999999999973E-2</v>
      </c>
      <c r="AJ62" s="3">
        <v>5.7000000000000023E-2</v>
      </c>
      <c r="AK62" s="3">
        <v>9.5999999999999974E-2</v>
      </c>
      <c r="AL62" s="3">
        <v>6.3999999999999974E-2</v>
      </c>
      <c r="AM62" s="3">
        <v>-5.8999999999999997E-2</v>
      </c>
      <c r="AN62" s="3">
        <v>-1.0999999999999996E-2</v>
      </c>
      <c r="AO62" s="3">
        <v>-0.314</v>
      </c>
      <c r="AP62" s="3">
        <v>6.4000000000000029E-2</v>
      </c>
      <c r="AQ62" s="3">
        <v>1.100000000000001E-2</v>
      </c>
      <c r="AR62" s="3">
        <v>0.14400000000000002</v>
      </c>
      <c r="AS62" s="3">
        <v>6.0000000000000026E-2</v>
      </c>
      <c r="AT62" s="3">
        <v>4.0000000000000036E-3</v>
      </c>
      <c r="AU62" s="3">
        <v>7.8999999999999987E-2</v>
      </c>
      <c r="AV62">
        <v>5.9000000000000025E-2</v>
      </c>
      <c r="AW62">
        <v>4.9999999999999767E-3</v>
      </c>
      <c r="AX62">
        <v>9.1999999999999971E-2</v>
      </c>
      <c r="AY62">
        <v>5.5000000000000021E-2</v>
      </c>
      <c r="AZ62">
        <v>-1.0000000000000009E-3</v>
      </c>
      <c r="BA62">
        <v>7.7999999999999986E-2</v>
      </c>
      <c r="BB62">
        <v>5.1000000000000018E-2</v>
      </c>
      <c r="BC62">
        <v>-4.0000000000000036E-3</v>
      </c>
      <c r="BD62">
        <v>0.11500000000000002</v>
      </c>
    </row>
    <row r="63" spans="1:56">
      <c r="A63" t="s">
        <v>179</v>
      </c>
      <c r="B63" t="s">
        <v>180</v>
      </c>
      <c r="C63">
        <v>-1.3999999999999999E-2</v>
      </c>
      <c r="D63">
        <v>4.0000000000000036E-3</v>
      </c>
      <c r="E63">
        <v>7.9999999999999793E-3</v>
      </c>
      <c r="F63">
        <v>0.65500000000000003</v>
      </c>
      <c r="G63">
        <v>0.629</v>
      </c>
      <c r="H63">
        <v>0.57599999999999996</v>
      </c>
      <c r="I63">
        <v>1.002</v>
      </c>
      <c r="J63">
        <v>0.97499999999999987</v>
      </c>
      <c r="K63">
        <v>0.88800000000000012</v>
      </c>
      <c r="L63">
        <v>0.7649999999999999</v>
      </c>
      <c r="M63">
        <v>0.74</v>
      </c>
      <c r="N63">
        <v>0.68</v>
      </c>
      <c r="O63">
        <v>0.70199999999999996</v>
      </c>
      <c r="P63">
        <v>0.71300000000000008</v>
      </c>
      <c r="Q63">
        <v>0.65</v>
      </c>
      <c r="R63">
        <v>0.71699999999999997</v>
      </c>
      <c r="S63">
        <v>0.71700000000000008</v>
      </c>
      <c r="T63">
        <v>0.68199999999999994</v>
      </c>
      <c r="U63" s="3">
        <v>3.0999999999999986E-2</v>
      </c>
      <c r="V63" s="3">
        <v>-5.0000000000000044E-3</v>
      </c>
      <c r="W63" s="3">
        <v>6.4999999999999988E-2</v>
      </c>
      <c r="X63" s="3">
        <v>0.55699999999999994</v>
      </c>
      <c r="Y63" s="3">
        <v>0.58400000000000007</v>
      </c>
      <c r="Z63" s="3">
        <v>0.59400000000000008</v>
      </c>
      <c r="AA63" s="3">
        <v>0.995</v>
      </c>
      <c r="AB63" s="3">
        <v>0.97900000000000009</v>
      </c>
      <c r="AC63" s="3">
        <v>0.95599999999999996</v>
      </c>
      <c r="AD63" s="3">
        <v>0.91699999999999993</v>
      </c>
      <c r="AE63" s="3">
        <v>0.89200000000000002</v>
      </c>
      <c r="AF63" s="3">
        <v>0.89500000000000002</v>
      </c>
      <c r="AG63" s="3">
        <v>0.89500000000000013</v>
      </c>
      <c r="AH63" s="3">
        <v>0.85200000000000009</v>
      </c>
      <c r="AI63" s="3">
        <v>0.83399999999999996</v>
      </c>
      <c r="AJ63" s="3">
        <v>0.88700000000000012</v>
      </c>
      <c r="AK63" s="3">
        <v>0.86299999999999999</v>
      </c>
      <c r="AL63" s="3">
        <v>0.84600000000000009</v>
      </c>
      <c r="AM63" s="3">
        <v>-5.8999999999999997E-2</v>
      </c>
      <c r="AN63" s="3">
        <v>-7.9999999999999932E-3</v>
      </c>
      <c r="AO63" s="3">
        <v>-0.32899999999999996</v>
      </c>
      <c r="AP63" s="3">
        <v>0.54200000000000004</v>
      </c>
      <c r="AQ63" s="3">
        <v>0.49000000000000005</v>
      </c>
      <c r="AR63" s="3">
        <v>0.49600000000000005</v>
      </c>
      <c r="AS63" s="3">
        <v>1.0030000000000001</v>
      </c>
      <c r="AT63" s="3">
        <v>0.98099999999999987</v>
      </c>
      <c r="AU63" s="3">
        <v>0.97299999999999998</v>
      </c>
      <c r="AV63">
        <v>0.90600000000000003</v>
      </c>
      <c r="AW63">
        <v>0.90100000000000002</v>
      </c>
      <c r="AX63">
        <v>0.93300000000000005</v>
      </c>
      <c r="AY63">
        <v>0.8600000000000001</v>
      </c>
      <c r="AZ63">
        <v>0.85699999999999998</v>
      </c>
      <c r="BA63">
        <v>0.88800000000000012</v>
      </c>
      <c r="BB63">
        <v>0.85899999999999999</v>
      </c>
      <c r="BC63">
        <v>0.84899999999999998</v>
      </c>
      <c r="BD63">
        <v>0.91100000000000014</v>
      </c>
    </row>
    <row r="64" spans="1:56">
      <c r="A64" t="s">
        <v>181</v>
      </c>
      <c r="B64" t="s">
        <v>182</v>
      </c>
      <c r="C64">
        <v>-2.2000000000000006E-2</v>
      </c>
      <c r="D64">
        <v>1.0000000000000009E-3</v>
      </c>
      <c r="E64">
        <v>1.0000000000000009E-3</v>
      </c>
      <c r="F64">
        <v>-1.6999999999999987E-2</v>
      </c>
      <c r="G64">
        <v>-1.999999999999999E-2</v>
      </c>
      <c r="H64">
        <v>7.9999999999999793E-3</v>
      </c>
      <c r="I64">
        <v>-2.0000000000000018E-2</v>
      </c>
      <c r="J64">
        <v>-2.0000000000000018E-2</v>
      </c>
      <c r="K64">
        <v>-7.0000000000000062E-3</v>
      </c>
      <c r="L64">
        <v>-2.0999999999999991E-2</v>
      </c>
      <c r="M64">
        <v>-1.7999999999999988E-2</v>
      </c>
      <c r="N64">
        <v>-3.1E-2</v>
      </c>
      <c r="O64">
        <v>-0.03</v>
      </c>
      <c r="P64">
        <v>-1.0000000000000009E-3</v>
      </c>
      <c r="Q64">
        <v>-1.8999999999999989E-2</v>
      </c>
      <c r="R64">
        <v>-8.0000000000000071E-3</v>
      </c>
      <c r="S64">
        <v>-3.0000000000000027E-3</v>
      </c>
      <c r="T64">
        <v>-1.100000000000001E-2</v>
      </c>
      <c r="U64" s="3">
        <v>1.0999999999999996E-2</v>
      </c>
      <c r="V64" s="3">
        <v>1.1999999999999997E-2</v>
      </c>
      <c r="W64" s="3">
        <v>8.4000000000000005E-2</v>
      </c>
      <c r="X64" s="3">
        <v>0</v>
      </c>
      <c r="Y64" s="3">
        <v>-2.0000000000000018E-3</v>
      </c>
      <c r="Z64" s="3">
        <v>4.6000000000000013E-2</v>
      </c>
      <c r="AA64" s="3">
        <v>-8.9999999999999802E-3</v>
      </c>
      <c r="AB64" s="3">
        <v>-8.9999999999999802E-3</v>
      </c>
      <c r="AC64" s="3">
        <v>-7.0000000000000062E-3</v>
      </c>
      <c r="AD64" s="3">
        <v>-1.0000000000000009E-2</v>
      </c>
      <c r="AE64" s="3">
        <v>-1.999999999999974E-3</v>
      </c>
      <c r="AF64" s="3">
        <v>2.0000000000000018E-2</v>
      </c>
      <c r="AG64" s="3">
        <v>-1.0000000000000009E-2</v>
      </c>
      <c r="AH64" s="3">
        <v>-1.3999999999999985E-2</v>
      </c>
      <c r="AI64" s="3">
        <v>-1.5000000000000013E-2</v>
      </c>
      <c r="AJ64" s="3">
        <v>-1.4000000000000012E-2</v>
      </c>
      <c r="AK64" s="3">
        <v>-4.0000000000000036E-3</v>
      </c>
      <c r="AL64" s="3">
        <v>1.0000000000000009E-3</v>
      </c>
      <c r="AM64" s="3">
        <v>-4.5999999999999999E-2</v>
      </c>
      <c r="AN64" s="3">
        <v>8.0000000000000071E-3</v>
      </c>
      <c r="AO64" s="3">
        <v>-0.32299999999999995</v>
      </c>
      <c r="AP64" s="3">
        <v>-3.1E-2</v>
      </c>
      <c r="AQ64" s="3">
        <v>2.0000000000000018E-3</v>
      </c>
      <c r="AR64" s="3">
        <v>4.4999999999999984E-2</v>
      </c>
      <c r="AS64" s="3">
        <v>-2.0999999999999991E-2</v>
      </c>
      <c r="AT64" s="3">
        <v>-9.000000000000008E-3</v>
      </c>
      <c r="AU64" s="3">
        <v>-1.0999999999999982E-2</v>
      </c>
      <c r="AV64">
        <v>-2.0999999999999991E-2</v>
      </c>
      <c r="AW64">
        <v>-8.0000000000000071E-3</v>
      </c>
      <c r="AX64">
        <v>-7.0000000000000062E-3</v>
      </c>
      <c r="AY64">
        <v>-2.2999999999999993E-2</v>
      </c>
      <c r="AZ64">
        <v>-1.1999999999999983E-2</v>
      </c>
      <c r="BA64">
        <v>-1.1999999999999983E-2</v>
      </c>
      <c r="BB64">
        <v>-3.3000000000000002E-2</v>
      </c>
      <c r="BC64">
        <v>-1.4000000000000012E-2</v>
      </c>
      <c r="BD64">
        <v>2.4000000000000021E-2</v>
      </c>
    </row>
    <row r="65" spans="1:56">
      <c r="A65" t="s">
        <v>183</v>
      </c>
      <c r="B65" t="s">
        <v>184</v>
      </c>
      <c r="C65">
        <v>-2.2000000000000006E-2</v>
      </c>
      <c r="D65">
        <v>-8.9999999999999941E-3</v>
      </c>
      <c r="E65">
        <v>-2.4000000000000007E-2</v>
      </c>
      <c r="F65">
        <v>-2.1999999999999992E-2</v>
      </c>
      <c r="G65">
        <v>-1.999999999999999E-2</v>
      </c>
      <c r="H65">
        <v>-2.0000000000000018E-3</v>
      </c>
      <c r="I65">
        <v>-2.4000000000000021E-2</v>
      </c>
      <c r="J65">
        <v>-1.8000000000000016E-2</v>
      </c>
      <c r="K65">
        <v>-3.9000000000000007E-2</v>
      </c>
      <c r="L65">
        <v>-4.9999999999999989E-2</v>
      </c>
      <c r="M65">
        <v>-2.4999999999999994E-2</v>
      </c>
      <c r="N65">
        <v>-6.3E-2</v>
      </c>
      <c r="O65">
        <v>-5.0000000000000017E-2</v>
      </c>
      <c r="P65">
        <v>-1.3999999999999985E-2</v>
      </c>
      <c r="Q65">
        <v>-4.200000000000001E-2</v>
      </c>
      <c r="R65">
        <v>-2.1000000000000019E-2</v>
      </c>
      <c r="S65">
        <v>-1.1999999999999983E-2</v>
      </c>
      <c r="T65">
        <v>-3.1000000000000028E-2</v>
      </c>
      <c r="U65" s="3">
        <v>-7.0000000000000062E-3</v>
      </c>
      <c r="V65" s="3">
        <v>0</v>
      </c>
      <c r="W65" s="3">
        <v>5.1000000000000004E-2</v>
      </c>
      <c r="X65" s="3">
        <v>-1.0000000000000009E-2</v>
      </c>
      <c r="Y65" s="3">
        <v>6.9999999999999785E-3</v>
      </c>
      <c r="Z65" s="3">
        <v>3.3000000000000002E-2</v>
      </c>
      <c r="AA65" s="3">
        <v>-3.2000000000000001E-2</v>
      </c>
      <c r="AB65" s="3">
        <v>-7.9999999999999793E-3</v>
      </c>
      <c r="AC65" s="3">
        <v>-3.4000000000000002E-2</v>
      </c>
      <c r="AD65" s="3">
        <v>-2.8999999999999998E-2</v>
      </c>
      <c r="AE65" s="3">
        <v>8.0000000000000071E-3</v>
      </c>
      <c r="AF65" s="3">
        <v>2.0000000000000018E-3</v>
      </c>
      <c r="AG65" s="3">
        <v>-2.3999999999999994E-2</v>
      </c>
      <c r="AH65" s="3">
        <v>0</v>
      </c>
      <c r="AI65" s="3">
        <v>-2.3999999999999994E-2</v>
      </c>
      <c r="AJ65" s="3">
        <v>-1.7999999999999988E-2</v>
      </c>
      <c r="AK65" s="3">
        <v>1.8999999999999989E-2</v>
      </c>
      <c r="AL65" s="3">
        <v>-4.0000000000000036E-3</v>
      </c>
      <c r="AM65" s="3">
        <v>-4.9000000000000002E-2</v>
      </c>
      <c r="AN65" s="3">
        <v>2.0000000000000018E-3</v>
      </c>
      <c r="AO65" s="3">
        <v>-0.314</v>
      </c>
      <c r="AP65" s="3">
        <v>-4.1000000000000009E-2</v>
      </c>
      <c r="AQ65" s="3">
        <v>-1.0000000000000009E-2</v>
      </c>
      <c r="AR65" s="3">
        <v>4.7999999999999987E-2</v>
      </c>
      <c r="AS65" s="3">
        <v>-3.4000000000000002E-2</v>
      </c>
      <c r="AT65" s="3">
        <v>-2.0000000000000018E-2</v>
      </c>
      <c r="AU65" s="3">
        <v>-1.6999999999999987E-2</v>
      </c>
      <c r="AV65">
        <v>-2.8999999999999998E-2</v>
      </c>
      <c r="AW65">
        <v>-1.5000000000000013E-2</v>
      </c>
      <c r="AX65">
        <v>-1.3000000000000012E-2</v>
      </c>
      <c r="AY65">
        <v>-2.7999999999999997E-2</v>
      </c>
      <c r="AZ65">
        <v>-2.9999999999999749E-3</v>
      </c>
      <c r="BA65">
        <v>-1.6999999999999987E-2</v>
      </c>
      <c r="BB65">
        <v>-2.4999999999999994E-2</v>
      </c>
      <c r="BC65">
        <v>-1.8000000000000016E-2</v>
      </c>
      <c r="BD65">
        <v>2.5000000000000022E-2</v>
      </c>
    </row>
    <row r="66" spans="1:56">
      <c r="A66" t="s">
        <v>185</v>
      </c>
      <c r="B66" t="s">
        <v>186</v>
      </c>
      <c r="C66">
        <v>0.13600000000000001</v>
      </c>
      <c r="D66">
        <v>-9.9999999999998701E-4</v>
      </c>
      <c r="E66">
        <v>-3.0000000000000027E-3</v>
      </c>
      <c r="F66">
        <v>5.6000000000000022E-2</v>
      </c>
      <c r="G66">
        <v>-1.1999999999999983E-2</v>
      </c>
      <c r="H66">
        <v>3.2000000000000001E-2</v>
      </c>
      <c r="I66">
        <v>7.2999999999999982E-2</v>
      </c>
      <c r="J66">
        <v>-9.000000000000008E-3</v>
      </c>
      <c r="K66">
        <v>-2.0000000000000018E-2</v>
      </c>
      <c r="L66">
        <v>4.5999999999999985E-2</v>
      </c>
      <c r="M66">
        <v>-1.3999999999999985E-2</v>
      </c>
      <c r="N66">
        <v>-4.5000000000000012E-2</v>
      </c>
      <c r="O66">
        <v>4.7999999999999987E-2</v>
      </c>
      <c r="P66">
        <v>-4.9999999999999767E-3</v>
      </c>
      <c r="Q66">
        <v>-3.2000000000000001E-2</v>
      </c>
      <c r="R66">
        <v>6.9000000000000006E-2</v>
      </c>
      <c r="S66">
        <v>-6.9999999999999785E-3</v>
      </c>
      <c r="T66">
        <v>-1.4000000000000012E-2</v>
      </c>
      <c r="U66" s="3">
        <v>-2.0000000000000018E-3</v>
      </c>
      <c r="V66" s="3">
        <v>9.999999999999995E-3</v>
      </c>
      <c r="W66" s="3">
        <v>5.800000000000001E-2</v>
      </c>
      <c r="X66" s="3">
        <v>-1.4000000000000012E-2</v>
      </c>
      <c r="Y66" s="3">
        <v>4.0000000000000036E-3</v>
      </c>
      <c r="Z66" s="3">
        <v>4.200000000000001E-2</v>
      </c>
      <c r="AA66" s="3">
        <v>-1.6999999999999987E-2</v>
      </c>
      <c r="AB66" s="3">
        <v>2.0000000000000018E-3</v>
      </c>
      <c r="AC66" s="3">
        <v>3.0000000000000027E-3</v>
      </c>
      <c r="AD66" s="3">
        <v>-1.5999999999999986E-2</v>
      </c>
      <c r="AE66" s="3">
        <v>1.0000000000000009E-2</v>
      </c>
      <c r="AF66" s="3">
        <v>3.1E-2</v>
      </c>
      <c r="AG66" s="3">
        <v>-1.5999999999999986E-2</v>
      </c>
      <c r="AH66" s="3">
        <v>-1.0000000000000009E-3</v>
      </c>
      <c r="AI66" s="3">
        <v>6.0000000000000053E-3</v>
      </c>
      <c r="AJ66" s="3">
        <v>-1.4000000000000012E-2</v>
      </c>
      <c r="AK66" s="3">
        <v>1.8999999999999989E-2</v>
      </c>
      <c r="AL66" s="3">
        <v>2.7999999999999997E-2</v>
      </c>
      <c r="AM66" s="3">
        <v>2.0999999999999991E-2</v>
      </c>
      <c r="AN66" s="3">
        <v>7.0000000000000062E-3</v>
      </c>
      <c r="AO66" s="3">
        <v>-0.30199999999999999</v>
      </c>
      <c r="AP66" s="3">
        <v>3.1E-2</v>
      </c>
      <c r="AQ66" s="3">
        <v>-6.0000000000000053E-3</v>
      </c>
      <c r="AR66" s="3">
        <v>7.1000000000000008E-2</v>
      </c>
      <c r="AS66" s="3">
        <v>4.6000000000000013E-2</v>
      </c>
      <c r="AT66" s="3">
        <v>-3.0000000000000027E-3</v>
      </c>
      <c r="AU66" s="3">
        <v>-2.0000000000000018E-3</v>
      </c>
      <c r="AV66">
        <v>4.300000000000001E-2</v>
      </c>
      <c r="AW66">
        <v>-1.0000000000000009E-2</v>
      </c>
      <c r="AX66">
        <v>3.0000000000000027E-3</v>
      </c>
      <c r="AY66">
        <v>3.1E-2</v>
      </c>
      <c r="AZ66">
        <v>-1.2999999999999984E-2</v>
      </c>
      <c r="BA66">
        <v>1.0000000000000009E-3</v>
      </c>
      <c r="BB66">
        <v>2.8999999999999998E-2</v>
      </c>
      <c r="BC66">
        <v>-1.6000000000000014E-2</v>
      </c>
      <c r="BD66">
        <v>3.7000000000000005E-2</v>
      </c>
    </row>
    <row r="67" spans="1:56">
      <c r="A67" t="s">
        <v>187</v>
      </c>
      <c r="B67" t="s">
        <v>188</v>
      </c>
      <c r="C67">
        <v>-4.0000000000000036E-3</v>
      </c>
      <c r="D67">
        <v>-8.9999999999999941E-3</v>
      </c>
      <c r="E67">
        <v>-2.2000000000000006E-2</v>
      </c>
      <c r="F67">
        <v>2.4000000000000021E-2</v>
      </c>
      <c r="G67">
        <v>1.8000000000000016E-2</v>
      </c>
      <c r="H67">
        <v>4.8999999999999988E-2</v>
      </c>
      <c r="I67">
        <v>8.9999999999999802E-3</v>
      </c>
      <c r="J67">
        <v>8.9999999999999802E-3</v>
      </c>
      <c r="K67">
        <v>-8.0000000000000071E-3</v>
      </c>
      <c r="L67">
        <v>-9.000000000000008E-3</v>
      </c>
      <c r="M67">
        <v>-6.0000000000000053E-3</v>
      </c>
      <c r="N67">
        <v>-3.2000000000000001E-2</v>
      </c>
      <c r="O67">
        <v>-2.0000000000000018E-2</v>
      </c>
      <c r="P67">
        <v>2.0000000000000018E-3</v>
      </c>
      <c r="Q67">
        <v>-1.8999999999999989E-2</v>
      </c>
      <c r="R67">
        <v>8.9999999999999802E-3</v>
      </c>
      <c r="S67">
        <v>2.0000000000000018E-3</v>
      </c>
      <c r="T67">
        <v>-7.0000000000000062E-3</v>
      </c>
      <c r="U67" s="3">
        <v>-1.2999999999999998E-2</v>
      </c>
      <c r="V67" s="3">
        <v>1.3999999999999999E-2</v>
      </c>
      <c r="W67" s="3">
        <v>6.4999999999999988E-2</v>
      </c>
      <c r="X67" s="3">
        <v>8.9999999999999802E-3</v>
      </c>
      <c r="Y67" s="3">
        <v>3.1E-2</v>
      </c>
      <c r="Z67" s="3">
        <v>7.5999999999999984E-2</v>
      </c>
      <c r="AA67" s="3">
        <v>-2.0000000000000018E-3</v>
      </c>
      <c r="AB67" s="3">
        <v>2.1000000000000019E-2</v>
      </c>
      <c r="AC67" s="3">
        <v>2.0999999999999991E-2</v>
      </c>
      <c r="AD67" s="3">
        <v>-9.000000000000008E-3</v>
      </c>
      <c r="AE67" s="3">
        <v>2.6000000000000023E-2</v>
      </c>
      <c r="AF67" s="3">
        <v>4.6000000000000013E-2</v>
      </c>
      <c r="AG67" s="3">
        <v>-1.4000000000000012E-2</v>
      </c>
      <c r="AH67" s="3">
        <v>1.2000000000000011E-2</v>
      </c>
      <c r="AI67" s="3">
        <v>1.100000000000001E-2</v>
      </c>
      <c r="AJ67" s="3">
        <v>-1.6999999999999987E-2</v>
      </c>
      <c r="AK67" s="3">
        <v>2.2999999999999993E-2</v>
      </c>
      <c r="AL67" s="3">
        <v>2.6999999999999996E-2</v>
      </c>
      <c r="AM67" s="3">
        <v>-4.1999999999999996E-2</v>
      </c>
      <c r="AN67" s="3">
        <v>2.0000000000000018E-3</v>
      </c>
      <c r="AO67" s="3">
        <v>-0.315</v>
      </c>
      <c r="AP67" s="3">
        <v>8.0000000000000071E-3</v>
      </c>
      <c r="AQ67" s="3">
        <v>1.2000000000000011E-2</v>
      </c>
      <c r="AR67" s="3">
        <v>8.2000000000000017E-2</v>
      </c>
      <c r="AS67" s="3">
        <v>8.0000000000000071E-3</v>
      </c>
      <c r="AT67" s="3">
        <v>0</v>
      </c>
      <c r="AU67" s="3">
        <v>2.0000000000000018E-2</v>
      </c>
      <c r="AV67">
        <v>3.0000000000000027E-3</v>
      </c>
      <c r="AW67">
        <v>-3.0000000000000027E-3</v>
      </c>
      <c r="AX67">
        <v>1.8999999999999989E-2</v>
      </c>
      <c r="AY67">
        <v>-3.0000000000000027E-3</v>
      </c>
      <c r="AZ67">
        <v>-1.0999999999999982E-2</v>
      </c>
      <c r="BA67">
        <v>1.100000000000001E-2</v>
      </c>
      <c r="BB67">
        <v>-5.0000000000000044E-3</v>
      </c>
      <c r="BC67">
        <v>-1.6000000000000014E-2</v>
      </c>
      <c r="BD67">
        <v>5.400000000000002E-2</v>
      </c>
    </row>
    <row r="68" spans="1:56">
      <c r="A68" t="s">
        <v>189</v>
      </c>
      <c r="B68" t="s">
        <v>190</v>
      </c>
      <c r="C68">
        <v>-2.5999999999999995E-2</v>
      </c>
      <c r="D68">
        <v>-1.3999999999999999E-2</v>
      </c>
      <c r="E68">
        <v>-2.8000000000000011E-2</v>
      </c>
      <c r="F68">
        <v>-3.9999999999999758E-3</v>
      </c>
      <c r="G68">
        <v>3.0000000000000027E-3</v>
      </c>
      <c r="H68">
        <v>1.4999999999999986E-2</v>
      </c>
      <c r="I68">
        <v>-6.0000000000000053E-3</v>
      </c>
      <c r="J68">
        <v>-4.0000000000000036E-3</v>
      </c>
      <c r="K68">
        <v>-4.7000000000000014E-2</v>
      </c>
      <c r="L68">
        <v>-3.6000000000000004E-2</v>
      </c>
      <c r="M68">
        <v>-9.000000000000008E-3</v>
      </c>
      <c r="N68">
        <v>-6.0999999999999999E-2</v>
      </c>
      <c r="O68">
        <v>-0.03</v>
      </c>
      <c r="P68">
        <v>-1.0000000000000009E-3</v>
      </c>
      <c r="Q68">
        <v>-4.5999999999999985E-2</v>
      </c>
      <c r="R68">
        <v>5.7999999999999996E-2</v>
      </c>
      <c r="S68">
        <v>-2.0000000000000018E-3</v>
      </c>
      <c r="T68">
        <v>-3.1000000000000028E-2</v>
      </c>
      <c r="U68" s="3">
        <v>-1.2999999999999998E-2</v>
      </c>
      <c r="V68" s="3">
        <v>-4.0000000000000036E-3</v>
      </c>
      <c r="W68" s="3">
        <v>4.0999999999999995E-2</v>
      </c>
      <c r="X68" s="3">
        <v>-6.0000000000000053E-3</v>
      </c>
      <c r="Y68" s="3">
        <v>-5.0000000000000044E-3</v>
      </c>
      <c r="Z68" s="3">
        <v>4.1000000000000009E-2</v>
      </c>
      <c r="AA68" s="3">
        <v>3.0000000000000027E-3</v>
      </c>
      <c r="AB68" s="3">
        <v>-2.9999999999999749E-3</v>
      </c>
      <c r="AC68" s="3">
        <v>-7.0000000000000062E-3</v>
      </c>
      <c r="AD68" s="3">
        <v>-1.8999999999999989E-2</v>
      </c>
      <c r="AE68" s="3">
        <v>2.0000000000000018E-3</v>
      </c>
      <c r="AF68" s="3">
        <v>1.5000000000000013E-2</v>
      </c>
      <c r="AG68" s="3">
        <v>-2.1999999999999992E-2</v>
      </c>
      <c r="AH68" s="3">
        <v>-1.100000000000001E-2</v>
      </c>
      <c r="AI68" s="3">
        <v>-1.2000000000000011E-2</v>
      </c>
      <c r="AJ68" s="3">
        <v>-2.3999999999999994E-2</v>
      </c>
      <c r="AK68" s="3">
        <v>3.9999999999999758E-3</v>
      </c>
      <c r="AL68" s="3">
        <v>-1.8000000000000016E-2</v>
      </c>
      <c r="AM68" s="3">
        <v>-4.9000000000000002E-2</v>
      </c>
      <c r="AN68" s="3">
        <v>-4.9999999999999906E-3</v>
      </c>
      <c r="AO68" s="3">
        <v>-0.32799999999999996</v>
      </c>
      <c r="AP68" s="3">
        <v>-1.100000000000001E-2</v>
      </c>
      <c r="AQ68" s="3">
        <v>7.0000000000000062E-3</v>
      </c>
      <c r="AR68" s="3">
        <v>4.8999999999999988E-2</v>
      </c>
      <c r="AS68" s="3">
        <v>-6.0000000000000053E-3</v>
      </c>
      <c r="AT68" s="3">
        <v>-5.0000000000000044E-3</v>
      </c>
      <c r="AU68" s="3">
        <v>2.0000000000000018E-3</v>
      </c>
      <c r="AV68">
        <v>-1.0000000000000009E-2</v>
      </c>
      <c r="AW68">
        <v>-6.0000000000000053E-3</v>
      </c>
      <c r="AX68">
        <v>-3.0000000000000027E-3</v>
      </c>
      <c r="AY68">
        <v>-1.2000000000000011E-2</v>
      </c>
      <c r="AZ68">
        <v>-1.1999999999999983E-2</v>
      </c>
      <c r="BA68">
        <v>-3.0000000000000027E-3</v>
      </c>
      <c r="BB68">
        <v>-1.2999999999999984E-2</v>
      </c>
      <c r="BC68">
        <v>-1.7000000000000015E-2</v>
      </c>
      <c r="BD68">
        <v>5.6000000000000022E-2</v>
      </c>
    </row>
    <row r="69" spans="1:56">
      <c r="A69" t="s">
        <v>191</v>
      </c>
      <c r="B69" t="s">
        <v>192</v>
      </c>
      <c r="C69">
        <v>-2.1000000000000005E-2</v>
      </c>
      <c r="D69">
        <v>-6.9999999999999923E-3</v>
      </c>
      <c r="E69">
        <v>-1.7000000000000001E-2</v>
      </c>
      <c r="F69">
        <v>0.79</v>
      </c>
      <c r="G69">
        <v>0.83600000000000008</v>
      </c>
      <c r="H69">
        <v>0.83999999999999986</v>
      </c>
      <c r="I69">
        <v>1.113</v>
      </c>
      <c r="J69">
        <v>1.1179999999999999</v>
      </c>
      <c r="K69">
        <v>1.103</v>
      </c>
      <c r="L69">
        <v>1.1400000000000001</v>
      </c>
      <c r="M69">
        <v>1.157</v>
      </c>
      <c r="N69">
        <v>1.111</v>
      </c>
      <c r="O69">
        <v>1.2170000000000001</v>
      </c>
      <c r="P69">
        <v>1.337</v>
      </c>
      <c r="Q69">
        <v>1.2889999999999999</v>
      </c>
      <c r="R69">
        <v>1.5210000000000001</v>
      </c>
      <c r="S69">
        <v>1.47</v>
      </c>
      <c r="T69">
        <v>1.474</v>
      </c>
      <c r="U69" s="3">
        <v>-7.0000000000000062E-3</v>
      </c>
      <c r="V69" s="3">
        <v>2.0000000000000018E-3</v>
      </c>
      <c r="W69" s="3">
        <v>4.2999999999999997E-2</v>
      </c>
      <c r="X69" s="3">
        <v>0.72500000000000009</v>
      </c>
      <c r="Y69" s="3">
        <v>0.69700000000000006</v>
      </c>
      <c r="Z69" s="3">
        <v>0.70900000000000007</v>
      </c>
      <c r="AA69" s="3">
        <v>0.90700000000000014</v>
      </c>
      <c r="AB69" s="3">
        <v>0.90200000000000014</v>
      </c>
      <c r="AC69" s="3">
        <v>0.84099999999999997</v>
      </c>
      <c r="AD69" s="3">
        <v>0.9880000000000001</v>
      </c>
      <c r="AE69" s="3">
        <v>0.995</v>
      </c>
      <c r="AF69" s="3">
        <v>0.97500000000000009</v>
      </c>
      <c r="AG69" s="3">
        <v>1.0419999999999998</v>
      </c>
      <c r="AH69" s="3">
        <v>1.03</v>
      </c>
      <c r="AI69" s="3">
        <v>1.01</v>
      </c>
      <c r="AJ69" s="3">
        <v>1.1439999999999999</v>
      </c>
      <c r="AK69" s="3">
        <v>1.149</v>
      </c>
      <c r="AL69" s="3">
        <v>1.272</v>
      </c>
      <c r="AM69" s="3">
        <v>-5.1000000000000004E-2</v>
      </c>
      <c r="AN69" s="3">
        <v>0</v>
      </c>
      <c r="AO69" s="3">
        <v>-0.315</v>
      </c>
      <c r="AP69" s="3">
        <v>0.627</v>
      </c>
      <c r="AQ69" s="3">
        <v>0.60899999999999999</v>
      </c>
      <c r="AR69" s="3">
        <v>0.60299999999999998</v>
      </c>
      <c r="AS69" s="3">
        <v>0.84800000000000009</v>
      </c>
      <c r="AT69" s="3">
        <v>0.82099999999999995</v>
      </c>
      <c r="AU69" s="3">
        <v>0.80900000000000005</v>
      </c>
      <c r="AV69">
        <v>0.94299999999999995</v>
      </c>
      <c r="AW69">
        <v>0.92899999999999983</v>
      </c>
      <c r="AX69">
        <v>0.92000000000000015</v>
      </c>
      <c r="AY69">
        <v>0.92799999999999994</v>
      </c>
      <c r="AZ69">
        <v>0.92199999999999993</v>
      </c>
      <c r="BA69">
        <v>0.93500000000000005</v>
      </c>
      <c r="BB69">
        <v>0.97599999999999998</v>
      </c>
      <c r="BC69">
        <v>0.96099999999999985</v>
      </c>
      <c r="BD69">
        <v>0.98499999999999999</v>
      </c>
    </row>
    <row r="70" spans="1:56">
      <c r="A70" t="s">
        <v>193</v>
      </c>
      <c r="B70" t="s">
        <v>194</v>
      </c>
      <c r="C70">
        <v>0.06</v>
      </c>
      <c r="D70">
        <v>7.1000000000000008E-2</v>
      </c>
      <c r="E70">
        <v>4.4999999999999984E-2</v>
      </c>
      <c r="F70">
        <v>0.13500000000000001</v>
      </c>
      <c r="G70">
        <v>0.16100000000000003</v>
      </c>
      <c r="H70">
        <v>0.13599999999999998</v>
      </c>
      <c r="I70">
        <v>0.14299999999999999</v>
      </c>
      <c r="J70">
        <v>0.17699999999999996</v>
      </c>
      <c r="K70">
        <v>9.2999999999999972E-2</v>
      </c>
      <c r="L70">
        <v>0.11299999999999999</v>
      </c>
      <c r="M70">
        <v>0.17099999999999999</v>
      </c>
      <c r="N70">
        <v>6.0999999999999971E-2</v>
      </c>
      <c r="O70">
        <v>9.7999999999999976E-2</v>
      </c>
      <c r="P70">
        <v>0.18099999999999999</v>
      </c>
      <c r="Q70">
        <v>8.3999999999999991E-2</v>
      </c>
      <c r="R70">
        <v>0.12699999999999997</v>
      </c>
      <c r="S70">
        <v>0.17199999999999999</v>
      </c>
      <c r="T70">
        <v>9.7999999999999976E-2</v>
      </c>
      <c r="U70" s="3">
        <v>7.5999999999999998E-2</v>
      </c>
      <c r="V70" s="3">
        <v>6.1000000000000013E-2</v>
      </c>
      <c r="W70" s="3">
        <v>0.106</v>
      </c>
      <c r="X70" s="3">
        <v>0.16399999999999998</v>
      </c>
      <c r="Y70" s="3">
        <v>0.16599999999999998</v>
      </c>
      <c r="Z70" s="3">
        <v>0.17500000000000002</v>
      </c>
      <c r="AA70" s="3">
        <v>0.18500000000000003</v>
      </c>
      <c r="AB70" s="3">
        <v>0.20299999999999999</v>
      </c>
      <c r="AC70" s="3">
        <v>0.17300000000000001</v>
      </c>
      <c r="AD70" s="3">
        <v>0.16700000000000001</v>
      </c>
      <c r="AE70" s="3">
        <v>0.20699999999999999</v>
      </c>
      <c r="AF70" s="3">
        <v>0.19400000000000003</v>
      </c>
      <c r="AG70" s="3">
        <v>0.161</v>
      </c>
      <c r="AH70" s="3">
        <v>0.20399999999999999</v>
      </c>
      <c r="AI70" s="3">
        <v>0.19399999999999998</v>
      </c>
      <c r="AJ70" s="3">
        <v>0.161</v>
      </c>
      <c r="AK70" s="3">
        <v>0.20200000000000001</v>
      </c>
      <c r="AL70" s="3">
        <v>0.19499999999999998</v>
      </c>
      <c r="AM70" s="3">
        <v>2.1999999999999992E-2</v>
      </c>
      <c r="AN70" s="3">
        <v>6.9999999999999993E-2</v>
      </c>
      <c r="AO70" s="3">
        <v>-0.26800000000000002</v>
      </c>
      <c r="AP70" s="3">
        <v>0.14399999999999999</v>
      </c>
      <c r="AQ70" s="3">
        <v>0.14400000000000002</v>
      </c>
      <c r="AR70" s="3">
        <v>0.16799999999999998</v>
      </c>
      <c r="AS70" s="3">
        <v>0.19799999999999998</v>
      </c>
      <c r="AT70" s="3">
        <v>0.16699999999999998</v>
      </c>
      <c r="AU70" s="3">
        <v>0.12200000000000003</v>
      </c>
      <c r="AV70">
        <v>0.17800000000000002</v>
      </c>
      <c r="AW70">
        <v>0.16099999999999998</v>
      </c>
      <c r="AX70">
        <v>0.122</v>
      </c>
      <c r="AY70">
        <v>0.17500000000000002</v>
      </c>
      <c r="AZ70">
        <v>0.158</v>
      </c>
      <c r="BA70">
        <v>0.11300000000000002</v>
      </c>
      <c r="BB70">
        <v>0.17400000000000002</v>
      </c>
      <c r="BC70">
        <v>0.15899999999999997</v>
      </c>
      <c r="BD70">
        <v>0.11300000000000002</v>
      </c>
    </row>
    <row r="71" spans="1:56">
      <c r="A71" t="s">
        <v>195</v>
      </c>
      <c r="B71" t="s">
        <v>196</v>
      </c>
      <c r="C71">
        <v>5.1999999999999991E-2</v>
      </c>
      <c r="D71">
        <v>7.3000000000000009E-2</v>
      </c>
      <c r="E71">
        <v>0.03</v>
      </c>
      <c r="F71">
        <v>1.0530000000000002</v>
      </c>
      <c r="G71">
        <v>1.593</v>
      </c>
      <c r="H71">
        <v>1.427</v>
      </c>
      <c r="I71">
        <v>2.7170000000000001</v>
      </c>
      <c r="J71">
        <v>2.7310000000000003</v>
      </c>
      <c r="K71">
        <v>2.71</v>
      </c>
      <c r="L71">
        <v>2.7629999999999999</v>
      </c>
      <c r="M71">
        <v>2.7719999999999998</v>
      </c>
      <c r="N71">
        <v>2.7310000000000003</v>
      </c>
      <c r="O71">
        <v>2.7039999999999997</v>
      </c>
      <c r="P71">
        <v>2.7790000000000004</v>
      </c>
      <c r="Q71">
        <v>2.746</v>
      </c>
      <c r="R71">
        <v>2.8220000000000001</v>
      </c>
      <c r="S71">
        <v>2.7879999999999998</v>
      </c>
      <c r="T71">
        <v>2.7630000000000003</v>
      </c>
      <c r="U71" s="3">
        <v>0.08</v>
      </c>
      <c r="V71" s="3">
        <v>6.2000000000000013E-2</v>
      </c>
      <c r="W71" s="3">
        <v>5.7000000000000009E-2</v>
      </c>
      <c r="X71" s="3">
        <v>0.95</v>
      </c>
      <c r="Y71" s="3">
        <v>0.94300000000000006</v>
      </c>
      <c r="Z71" s="3">
        <v>1.05</v>
      </c>
      <c r="AA71" s="3">
        <v>2.5030000000000001</v>
      </c>
      <c r="AB71" s="3">
        <v>2.4870000000000001</v>
      </c>
      <c r="AC71" s="3">
        <v>2.585</v>
      </c>
      <c r="AD71" s="3">
        <v>2.6719999999999997</v>
      </c>
      <c r="AE71" s="3">
        <v>2.65</v>
      </c>
      <c r="AF71" s="3">
        <v>2.6709999999999998</v>
      </c>
      <c r="AG71" s="3">
        <v>2.72</v>
      </c>
      <c r="AH71" s="3">
        <v>2.7029999999999998</v>
      </c>
      <c r="AI71" s="3">
        <v>2.7039999999999997</v>
      </c>
      <c r="AJ71" s="3">
        <v>2.7390000000000003</v>
      </c>
      <c r="AK71" s="3">
        <v>2.738</v>
      </c>
      <c r="AL71" s="3">
        <v>2.734</v>
      </c>
      <c r="AM71" s="3">
        <v>1.0000000000000009E-2</v>
      </c>
      <c r="AN71" s="3">
        <v>6.2000000000000013E-2</v>
      </c>
      <c r="AO71" s="3">
        <v>-0.32499999999999996</v>
      </c>
      <c r="AP71" s="3">
        <v>0.70200000000000007</v>
      </c>
      <c r="AQ71" s="3">
        <v>0.69799999999999995</v>
      </c>
      <c r="AR71" s="3">
        <v>0.7410000000000001</v>
      </c>
      <c r="AS71" s="3">
        <v>2.3180000000000001</v>
      </c>
      <c r="AT71" s="3">
        <v>2.3400000000000003</v>
      </c>
      <c r="AU71" s="3">
        <v>2.2770000000000001</v>
      </c>
      <c r="AV71">
        <v>2.6149999999999998</v>
      </c>
      <c r="AW71">
        <v>2.6790000000000003</v>
      </c>
      <c r="AX71">
        <v>2.6829999999999998</v>
      </c>
      <c r="AY71">
        <v>2.6649999999999996</v>
      </c>
      <c r="AZ71">
        <v>2.73</v>
      </c>
      <c r="BA71">
        <v>2.722</v>
      </c>
      <c r="BB71">
        <v>2.722</v>
      </c>
      <c r="BC71">
        <v>2.7310000000000003</v>
      </c>
      <c r="BD71">
        <v>2.73</v>
      </c>
    </row>
    <row r="72" spans="1:56">
      <c r="A72" t="s">
        <v>197</v>
      </c>
      <c r="B72" t="s">
        <v>198</v>
      </c>
      <c r="C72">
        <v>-5.0000000000000044E-3</v>
      </c>
      <c r="D72">
        <v>4.0000000000000036E-3</v>
      </c>
      <c r="E72">
        <v>-2.3000000000000007E-2</v>
      </c>
      <c r="F72">
        <v>-1.999999999999999E-2</v>
      </c>
      <c r="G72">
        <v>1.7000000000000015E-2</v>
      </c>
      <c r="H72">
        <v>9.9999999999999811E-3</v>
      </c>
      <c r="I72">
        <v>6.9999999999999785E-3</v>
      </c>
      <c r="J72">
        <v>-9.000000000000008E-3</v>
      </c>
      <c r="K72">
        <v>-3.3000000000000002E-2</v>
      </c>
      <c r="L72">
        <v>-1.8999999999999989E-2</v>
      </c>
      <c r="M72">
        <v>-2.8999999999999998E-2</v>
      </c>
      <c r="N72">
        <v>-8.4000000000000019E-2</v>
      </c>
      <c r="O72">
        <v>-2.2999999999999993E-2</v>
      </c>
      <c r="P72">
        <v>-1.8999999999999989E-2</v>
      </c>
      <c r="Q72">
        <v>-7.6999999999999985E-2</v>
      </c>
      <c r="R72">
        <v>-1.0000000000000009E-2</v>
      </c>
      <c r="S72">
        <v>-1.8999999999999989E-2</v>
      </c>
      <c r="T72">
        <v>-7.2000000000000008E-2</v>
      </c>
      <c r="U72" s="3">
        <v>-8.0000000000000071E-3</v>
      </c>
      <c r="V72" s="3">
        <v>-5.0000000000000044E-3</v>
      </c>
      <c r="W72" s="3">
        <v>0.05</v>
      </c>
      <c r="X72" s="3">
        <v>-7.2000000000000008E-2</v>
      </c>
      <c r="Y72" s="3">
        <v>-7.400000000000001E-2</v>
      </c>
      <c r="Z72" s="3">
        <v>-7.3999999999999982E-2</v>
      </c>
      <c r="AA72" s="3">
        <v>-0.09</v>
      </c>
      <c r="AB72" s="3">
        <v>-8.5999999999999993E-2</v>
      </c>
      <c r="AC72" s="3">
        <v>-8.8999999999999996E-2</v>
      </c>
      <c r="AD72" s="3">
        <v>-9.8000000000000004E-2</v>
      </c>
      <c r="AE72" s="3">
        <v>-8.6999999999999994E-2</v>
      </c>
      <c r="AF72" s="3">
        <v>-7.7999999999999986E-2</v>
      </c>
      <c r="AG72" s="3">
        <v>-0.1</v>
      </c>
      <c r="AH72" s="3">
        <v>-9.6000000000000002E-2</v>
      </c>
      <c r="AI72" s="3">
        <v>-9.2999999999999999E-2</v>
      </c>
      <c r="AJ72" s="3">
        <v>-9.9000000000000005E-2</v>
      </c>
      <c r="AK72" s="3">
        <v>-8.2000000000000017E-2</v>
      </c>
      <c r="AL72" s="3">
        <v>-9.7000000000000003E-2</v>
      </c>
      <c r="AM72" s="3">
        <v>-4.4999999999999998E-2</v>
      </c>
      <c r="AN72" s="3">
        <v>-6.9999999999999923E-3</v>
      </c>
      <c r="AO72" s="3">
        <v>-0.35799999999999998</v>
      </c>
      <c r="AP72" s="3">
        <v>-8.3999999999999991E-2</v>
      </c>
      <c r="AQ72" s="3">
        <v>-5.099999999999999E-2</v>
      </c>
      <c r="AR72" s="3">
        <v>-3.8000000000000006E-2</v>
      </c>
      <c r="AS72" s="3">
        <v>-8.4999999999999992E-2</v>
      </c>
      <c r="AT72" s="3">
        <v>-8.6000000000000007E-2</v>
      </c>
      <c r="AU72" s="3">
        <v>-8.4999999999999992E-2</v>
      </c>
      <c r="AV72">
        <v>-9.1999999999999998E-2</v>
      </c>
      <c r="AW72">
        <v>-9.0000000000000011E-2</v>
      </c>
      <c r="AX72">
        <v>-7.9000000000000015E-2</v>
      </c>
      <c r="AY72">
        <v>-9.2999999999999999E-2</v>
      </c>
      <c r="AZ72">
        <v>-9.5999999999999988E-2</v>
      </c>
      <c r="BA72">
        <v>-7.8999999999999987E-2</v>
      </c>
      <c r="BB72">
        <v>-8.8999999999999996E-2</v>
      </c>
      <c r="BC72">
        <v>-9.2000000000000012E-2</v>
      </c>
      <c r="BD72">
        <v>-8.0999999999999989E-2</v>
      </c>
    </row>
    <row r="73" spans="1:56">
      <c r="A73" t="s">
        <v>199</v>
      </c>
      <c r="B73" t="s">
        <v>200</v>
      </c>
      <c r="C73">
        <v>-2.0000000000000004E-2</v>
      </c>
      <c r="D73">
        <v>-9.999999999999995E-3</v>
      </c>
      <c r="E73">
        <v>1.4999999999999986E-2</v>
      </c>
      <c r="F73">
        <v>0.193</v>
      </c>
      <c r="G73">
        <v>-6.5999999999999989E-2</v>
      </c>
      <c r="H73">
        <v>0.21199999999999999</v>
      </c>
      <c r="I73">
        <v>0.47499999999999998</v>
      </c>
      <c r="J73">
        <v>-6.3000000000000014E-2</v>
      </c>
      <c r="K73">
        <v>0.45500000000000002</v>
      </c>
      <c r="L73">
        <v>0.32</v>
      </c>
      <c r="M73">
        <v>-7.4999999999999997E-2</v>
      </c>
      <c r="N73">
        <v>0.33000000000000007</v>
      </c>
      <c r="O73">
        <v>0.31900000000000001</v>
      </c>
      <c r="P73">
        <v>-6.2999999999999987E-2</v>
      </c>
      <c r="Q73">
        <v>0.34400000000000008</v>
      </c>
      <c r="R73">
        <v>0.34399999999999997</v>
      </c>
      <c r="S73">
        <v>-6.0999999999999985E-2</v>
      </c>
      <c r="T73">
        <v>0.35700000000000004</v>
      </c>
      <c r="U73" s="3">
        <v>0</v>
      </c>
      <c r="V73" s="3">
        <v>-6.0000000000000053E-3</v>
      </c>
      <c r="W73" s="3">
        <v>0.08</v>
      </c>
      <c r="X73" s="3">
        <v>0.40199999999999997</v>
      </c>
      <c r="Y73" s="3">
        <v>0.40299999999999997</v>
      </c>
      <c r="Z73" s="3">
        <v>0.45500000000000007</v>
      </c>
      <c r="AA73" s="3">
        <v>0.80399999999999994</v>
      </c>
      <c r="AB73" s="3">
        <v>0.79200000000000004</v>
      </c>
      <c r="AC73" s="3">
        <v>0.751</v>
      </c>
      <c r="AD73" s="3">
        <v>0.745</v>
      </c>
      <c r="AE73" s="3">
        <v>0.749</v>
      </c>
      <c r="AF73" s="3">
        <v>0.73699999999999999</v>
      </c>
      <c r="AG73" s="3">
        <v>0.73499999999999999</v>
      </c>
      <c r="AH73" s="3">
        <v>0.72899999999999998</v>
      </c>
      <c r="AI73" s="3">
        <v>0.69800000000000006</v>
      </c>
      <c r="AJ73" s="3">
        <v>0.72699999999999998</v>
      </c>
      <c r="AK73" s="3">
        <v>0.74299999999999988</v>
      </c>
      <c r="AL73" s="3">
        <v>0.69900000000000007</v>
      </c>
      <c r="AM73" s="3">
        <v>-4.2999999999999997E-2</v>
      </c>
      <c r="AN73" s="3">
        <v>-8.9999999999999941E-3</v>
      </c>
      <c r="AO73" s="3">
        <v>-0.22399999999999998</v>
      </c>
      <c r="AP73" s="3">
        <v>0.43500000000000005</v>
      </c>
      <c r="AQ73" s="3">
        <v>0.38199999999999995</v>
      </c>
      <c r="AR73" s="3">
        <v>0.44600000000000001</v>
      </c>
      <c r="AS73" s="3">
        <v>0.80600000000000005</v>
      </c>
      <c r="AT73" s="3">
        <v>0.78499999999999992</v>
      </c>
      <c r="AU73" s="3">
        <v>0.747</v>
      </c>
      <c r="AV73">
        <v>0.76300000000000001</v>
      </c>
      <c r="AW73">
        <v>0.7330000000000001</v>
      </c>
      <c r="AX73">
        <v>0.74099999999999988</v>
      </c>
      <c r="AY73">
        <v>0.746</v>
      </c>
      <c r="AZ73">
        <v>0.71800000000000008</v>
      </c>
      <c r="BA73">
        <v>0.71500000000000008</v>
      </c>
      <c r="BB73">
        <v>0.73499999999999999</v>
      </c>
      <c r="BC73">
        <v>0.71599999999999997</v>
      </c>
      <c r="BD73">
        <v>0.73699999999999999</v>
      </c>
    </row>
    <row r="74" spans="1:56">
      <c r="A74" t="s">
        <v>201</v>
      </c>
      <c r="B74" t="s">
        <v>202</v>
      </c>
      <c r="C74">
        <v>4.0000000000000036E-3</v>
      </c>
      <c r="D74">
        <v>2.3999999999999994E-2</v>
      </c>
      <c r="E74">
        <v>3.999999999999998E-2</v>
      </c>
      <c r="F74">
        <v>-2.9999999999999749E-3</v>
      </c>
      <c r="G74">
        <v>9.000000000000008E-3</v>
      </c>
      <c r="H74">
        <v>1.6999999999999987E-2</v>
      </c>
      <c r="I74">
        <v>-1.6000000000000014E-2</v>
      </c>
      <c r="J74">
        <v>-2.0000000000000018E-3</v>
      </c>
      <c r="K74">
        <v>-2.4000000000000021E-2</v>
      </c>
      <c r="L74">
        <v>-3.1E-2</v>
      </c>
      <c r="M74">
        <v>-8.0000000000000071E-3</v>
      </c>
      <c r="N74">
        <v>-4.6000000000000013E-2</v>
      </c>
      <c r="O74">
        <v>-2.4999999999999994E-2</v>
      </c>
      <c r="P74">
        <v>4.0000000000000036E-3</v>
      </c>
      <c r="Q74">
        <v>-0.03</v>
      </c>
      <c r="R74">
        <v>4.4999999999999984E-2</v>
      </c>
      <c r="S74">
        <v>5.0000000000000044E-3</v>
      </c>
      <c r="T74">
        <v>-1.7000000000000015E-2</v>
      </c>
      <c r="U74" s="3">
        <v>5.2000000000000005E-2</v>
      </c>
      <c r="V74" s="3">
        <v>3.0000000000000027E-3</v>
      </c>
      <c r="W74" s="3">
        <v>9.0000000000000011E-2</v>
      </c>
      <c r="X74" s="3">
        <v>5.1999999999999991E-2</v>
      </c>
      <c r="Y74" s="3">
        <v>0</v>
      </c>
      <c r="Z74" s="3">
        <v>2.6000000000000023E-2</v>
      </c>
      <c r="AA74" s="3">
        <v>4.6000000000000013E-2</v>
      </c>
      <c r="AB74" s="3">
        <v>0</v>
      </c>
      <c r="AC74" s="3">
        <v>-1.3999999999999985E-2</v>
      </c>
      <c r="AD74" s="3">
        <v>4.5000000000000012E-2</v>
      </c>
      <c r="AE74" s="3">
        <v>6.0000000000000053E-3</v>
      </c>
      <c r="AF74" s="3">
        <v>9.000000000000008E-3</v>
      </c>
      <c r="AG74" s="3">
        <v>4.300000000000001E-2</v>
      </c>
      <c r="AH74" s="3">
        <v>-6.0000000000000053E-3</v>
      </c>
      <c r="AI74" s="3">
        <v>-2.3999999999999994E-2</v>
      </c>
      <c r="AJ74" s="3">
        <v>4.9000000000000016E-2</v>
      </c>
      <c r="AK74" s="3">
        <v>1.0999999999999982E-2</v>
      </c>
      <c r="AL74" s="3">
        <v>-2.3999999999999994E-2</v>
      </c>
      <c r="AM74" s="3">
        <v>-3.8000000000000006E-2</v>
      </c>
      <c r="AN74" s="3">
        <v>0</v>
      </c>
      <c r="AO74" s="3">
        <v>-0.27</v>
      </c>
      <c r="AP74" s="3">
        <v>-9.000000000000008E-3</v>
      </c>
      <c r="AQ74" s="3">
        <v>1.100000000000001E-2</v>
      </c>
      <c r="AR74" s="3">
        <v>8.3000000000000018E-2</v>
      </c>
      <c r="AS74" s="3">
        <v>2.0000000000000018E-3</v>
      </c>
      <c r="AT74" s="3">
        <v>4.0000000000000036E-3</v>
      </c>
      <c r="AU74" s="3">
        <v>1.100000000000001E-2</v>
      </c>
      <c r="AV74">
        <v>-1.0000000000000009E-3</v>
      </c>
      <c r="AW74">
        <v>6.9999999999999785E-3</v>
      </c>
      <c r="AX74">
        <v>2.5999999999999995E-2</v>
      </c>
      <c r="AY74">
        <v>-4.0000000000000036E-3</v>
      </c>
      <c r="AZ74">
        <v>-5.9999999999999776E-3</v>
      </c>
      <c r="BA74">
        <v>9.000000000000008E-3</v>
      </c>
      <c r="BB74">
        <v>-6.0000000000000053E-3</v>
      </c>
      <c r="BC74">
        <v>-5.0000000000000044E-3</v>
      </c>
      <c r="BD74">
        <v>3.6000000000000004E-2</v>
      </c>
    </row>
    <row r="75" spans="1:56">
      <c r="A75" t="s">
        <v>203</v>
      </c>
      <c r="B75" t="s">
        <v>204</v>
      </c>
      <c r="C75">
        <v>-1.8000000000000002E-2</v>
      </c>
      <c r="D75">
        <v>-1.2999999999999998E-2</v>
      </c>
      <c r="E75">
        <v>-7.0000000000000062E-3</v>
      </c>
      <c r="F75">
        <v>8.0000000000000071E-3</v>
      </c>
      <c r="G75">
        <v>9.000000000000008E-3</v>
      </c>
      <c r="H75">
        <v>2.3999999999999994E-2</v>
      </c>
      <c r="I75">
        <v>-1.2000000000000011E-2</v>
      </c>
      <c r="J75">
        <v>-8.0000000000000071E-3</v>
      </c>
      <c r="K75">
        <v>-2.6999999999999996E-2</v>
      </c>
      <c r="L75">
        <v>-3.1E-2</v>
      </c>
      <c r="M75">
        <v>-8.0000000000000071E-3</v>
      </c>
      <c r="N75">
        <v>-4.6000000000000013E-2</v>
      </c>
      <c r="O75">
        <v>-2.7999999999999997E-2</v>
      </c>
      <c r="P75">
        <v>4.0000000000000036E-3</v>
      </c>
      <c r="Q75">
        <v>-3.9000000000000007E-2</v>
      </c>
      <c r="R75">
        <v>3.0000000000000027E-3</v>
      </c>
      <c r="S75">
        <v>0</v>
      </c>
      <c r="T75">
        <v>-2.6000000000000023E-2</v>
      </c>
      <c r="U75" s="3">
        <v>2.9000000000000012E-2</v>
      </c>
      <c r="V75" s="3">
        <v>-4.0000000000000036E-3</v>
      </c>
      <c r="W75" s="3">
        <v>6.1999999999999986E-2</v>
      </c>
      <c r="X75" s="3">
        <v>5.3999999999999992E-2</v>
      </c>
      <c r="Y75" s="3">
        <v>2.4999999999999994E-2</v>
      </c>
      <c r="Z75" s="3">
        <v>5.0000000000000017E-2</v>
      </c>
      <c r="AA75" s="3">
        <v>4.4000000000000011E-2</v>
      </c>
      <c r="AB75" s="3">
        <v>1.3000000000000012E-2</v>
      </c>
      <c r="AC75" s="3">
        <v>-5.0000000000000044E-3</v>
      </c>
      <c r="AD75" s="3">
        <v>3.5000000000000003E-2</v>
      </c>
      <c r="AE75" s="3">
        <v>1.4000000000000012E-2</v>
      </c>
      <c r="AF75" s="3">
        <v>1.6000000000000014E-2</v>
      </c>
      <c r="AG75" s="3">
        <v>2.8999999999999998E-2</v>
      </c>
      <c r="AH75" s="3">
        <v>2.0000000000000018E-3</v>
      </c>
      <c r="AI75" s="3">
        <v>-1.7999999999999988E-2</v>
      </c>
      <c r="AJ75" s="3">
        <v>2.8999999999999998E-2</v>
      </c>
      <c r="AK75" s="3">
        <v>1.4999999999999986E-2</v>
      </c>
      <c r="AL75" s="3">
        <v>-1.7000000000000015E-2</v>
      </c>
      <c r="AM75" s="3">
        <v>-5.6000000000000008E-2</v>
      </c>
      <c r="AN75" s="3">
        <v>-5.9999999999999915E-3</v>
      </c>
      <c r="AO75" s="3">
        <v>-0.29099999999999998</v>
      </c>
      <c r="AP75" s="3">
        <v>-9.000000000000008E-3</v>
      </c>
      <c r="AQ75" s="3">
        <v>1.5000000000000013E-2</v>
      </c>
      <c r="AR75" s="3">
        <v>8.4000000000000019E-2</v>
      </c>
      <c r="AS75" s="3">
        <v>-7.9999999999999793E-3</v>
      </c>
      <c r="AT75" s="3">
        <v>2.0000000000000018E-3</v>
      </c>
      <c r="AU75" s="3">
        <v>4.0000000000000036E-3</v>
      </c>
      <c r="AV75">
        <v>-1.3000000000000012E-2</v>
      </c>
      <c r="AW75">
        <v>-1.0000000000000009E-3</v>
      </c>
      <c r="AX75">
        <v>1.2999999999999984E-2</v>
      </c>
      <c r="AY75">
        <v>-1.7999999999999988E-2</v>
      </c>
      <c r="AZ75">
        <v>-9.9999999999999811E-3</v>
      </c>
      <c r="BA75">
        <v>1.0000000000000009E-3</v>
      </c>
      <c r="BB75">
        <v>-1.8999999999999989E-2</v>
      </c>
      <c r="BC75">
        <v>-1.100000000000001E-2</v>
      </c>
      <c r="BD75">
        <v>3.1E-2</v>
      </c>
    </row>
    <row r="76" spans="1:56">
      <c r="A76" t="s">
        <v>205</v>
      </c>
      <c r="B76" t="s">
        <v>206</v>
      </c>
      <c r="C76">
        <v>-2.6999999999999996E-2</v>
      </c>
      <c r="D76">
        <v>-1.0999999999999996E-2</v>
      </c>
      <c r="E76">
        <v>-1.2000000000000011E-2</v>
      </c>
      <c r="F76">
        <v>6.7000000000000004E-2</v>
      </c>
      <c r="G76">
        <v>0.25700000000000001</v>
      </c>
      <c r="H76">
        <v>0.13899999999999998</v>
      </c>
      <c r="I76">
        <v>0.82</v>
      </c>
      <c r="J76">
        <v>0.71799999999999997</v>
      </c>
      <c r="K76">
        <v>0.98</v>
      </c>
      <c r="L76">
        <v>0.86699999999999999</v>
      </c>
      <c r="M76">
        <v>0.75499999999999989</v>
      </c>
      <c r="N76">
        <v>0.77100000000000002</v>
      </c>
      <c r="O76">
        <v>0.84699999999999998</v>
      </c>
      <c r="P76">
        <v>0.76400000000000001</v>
      </c>
      <c r="Q76">
        <v>0.77300000000000002</v>
      </c>
      <c r="R76">
        <v>0.71499999999999997</v>
      </c>
      <c r="S76">
        <v>0.78</v>
      </c>
      <c r="T76">
        <v>0.79099999999999993</v>
      </c>
      <c r="U76" s="3">
        <v>1.0000000000000009E-3</v>
      </c>
      <c r="V76" s="3">
        <v>-7.9999999999999932E-3</v>
      </c>
      <c r="W76" s="3">
        <v>5.3000000000000005E-2</v>
      </c>
      <c r="X76" s="3">
        <v>0.17599999999999999</v>
      </c>
      <c r="Y76" s="3">
        <v>0.21599999999999997</v>
      </c>
      <c r="Z76" s="3">
        <v>0.29300000000000004</v>
      </c>
      <c r="AA76" s="3">
        <v>0.97499999999999998</v>
      </c>
      <c r="AB76" s="3">
        <v>0.97500000000000009</v>
      </c>
      <c r="AC76" s="3">
        <v>0.91900000000000004</v>
      </c>
      <c r="AD76" s="3">
        <v>0.91699999999999993</v>
      </c>
      <c r="AE76" s="3">
        <v>0.88300000000000012</v>
      </c>
      <c r="AF76" s="3">
        <v>0.85600000000000009</v>
      </c>
      <c r="AG76" s="3">
        <v>0.87100000000000011</v>
      </c>
      <c r="AH76" s="3">
        <v>0.84000000000000008</v>
      </c>
      <c r="AI76" s="3">
        <v>0.79399999999999993</v>
      </c>
      <c r="AJ76" s="3">
        <v>0.84199999999999997</v>
      </c>
      <c r="AK76" s="3">
        <v>0.82099999999999995</v>
      </c>
      <c r="AL76" s="3">
        <v>0.76400000000000001</v>
      </c>
      <c r="AM76" s="3">
        <v>-5.7999999999999996E-2</v>
      </c>
      <c r="AN76" s="3">
        <v>-7.9999999999999932E-3</v>
      </c>
      <c r="AO76" s="3">
        <v>-0.30099999999999999</v>
      </c>
      <c r="AP76" s="3">
        <v>0.24100000000000002</v>
      </c>
      <c r="AQ76" s="3">
        <v>0.16199999999999998</v>
      </c>
      <c r="AR76" s="3">
        <v>0.11299999999999999</v>
      </c>
      <c r="AS76" s="3">
        <v>1.016</v>
      </c>
      <c r="AT76" s="3">
        <v>1.022</v>
      </c>
      <c r="AU76" s="3">
        <v>0.89900000000000013</v>
      </c>
      <c r="AV76">
        <v>0.91</v>
      </c>
      <c r="AW76">
        <v>0.92599999999999993</v>
      </c>
      <c r="AX76">
        <v>1.0170000000000001</v>
      </c>
      <c r="AY76">
        <v>0.85600000000000009</v>
      </c>
      <c r="AZ76">
        <v>0.8600000000000001</v>
      </c>
      <c r="BA76">
        <v>0.92500000000000004</v>
      </c>
      <c r="BB76">
        <v>0.81499999999999995</v>
      </c>
      <c r="BC76">
        <v>0.81999999999999984</v>
      </c>
      <c r="BD76">
        <v>0.91500000000000015</v>
      </c>
    </row>
    <row r="77" spans="1:56">
      <c r="A77" t="s">
        <v>207</v>
      </c>
      <c r="B77" t="s">
        <v>208</v>
      </c>
      <c r="C77">
        <v>-2.3999999999999994E-2</v>
      </c>
      <c r="D77">
        <v>-3.9999999999999897E-3</v>
      </c>
      <c r="E77">
        <v>-3.1000000000000014E-2</v>
      </c>
      <c r="F77">
        <v>6.0000000000000053E-3</v>
      </c>
      <c r="G77">
        <v>3.0000000000000027E-3</v>
      </c>
      <c r="H77">
        <v>1.0000000000000009E-3</v>
      </c>
      <c r="I77">
        <v>-3.0000000000000027E-3</v>
      </c>
      <c r="J77">
        <v>1.4999999999999986E-2</v>
      </c>
      <c r="K77">
        <v>-3.7000000000000005E-2</v>
      </c>
      <c r="L77">
        <v>-1.3000000000000012E-2</v>
      </c>
      <c r="M77">
        <v>-6.0000000000000053E-3</v>
      </c>
      <c r="N77">
        <v>-7.1000000000000008E-2</v>
      </c>
      <c r="O77">
        <v>-1.2000000000000011E-2</v>
      </c>
      <c r="P77">
        <v>3.0000000000000027E-3</v>
      </c>
      <c r="Q77">
        <v>-5.8999999999999997E-2</v>
      </c>
      <c r="R77">
        <v>1.0999999999999982E-2</v>
      </c>
      <c r="S77">
        <v>3.0000000000000027E-3</v>
      </c>
      <c r="T77">
        <v>-4.5000000000000012E-2</v>
      </c>
      <c r="U77" s="3">
        <v>-1.0000000000000009E-3</v>
      </c>
      <c r="V77" s="3">
        <v>0</v>
      </c>
      <c r="W77" s="3">
        <v>4.7E-2</v>
      </c>
      <c r="X77" s="3">
        <v>4.0000000000000036E-3</v>
      </c>
      <c r="Y77" s="3">
        <v>-3.0000000000000027E-3</v>
      </c>
      <c r="Z77" s="3">
        <v>2.7000000000000024E-2</v>
      </c>
      <c r="AA77" s="3">
        <v>1.0000000000000009E-3</v>
      </c>
      <c r="AB77" s="3">
        <v>-4.9999999999999767E-3</v>
      </c>
      <c r="AC77" s="3">
        <v>-2.0999999999999991E-2</v>
      </c>
      <c r="AD77" s="3">
        <v>-1.0000000000000009E-3</v>
      </c>
      <c r="AE77" s="3">
        <v>2.0000000000000018E-3</v>
      </c>
      <c r="AF77" s="3">
        <v>7.0000000000000062E-3</v>
      </c>
      <c r="AG77" s="3">
        <v>-3.0000000000000027E-3</v>
      </c>
      <c r="AH77" s="3">
        <v>-1.2000000000000011E-2</v>
      </c>
      <c r="AI77" s="3">
        <v>-2.8999999999999998E-2</v>
      </c>
      <c r="AJ77" s="3">
        <v>-6.0000000000000053E-3</v>
      </c>
      <c r="AK77" s="3">
        <v>0</v>
      </c>
      <c r="AL77" s="3">
        <v>-2.7999999999999997E-2</v>
      </c>
      <c r="AM77" s="3">
        <v>-4.9000000000000002E-2</v>
      </c>
      <c r="AN77" s="3">
        <v>-6.9999999999999923E-3</v>
      </c>
      <c r="AO77" s="3">
        <v>-0.32399999999999995</v>
      </c>
      <c r="AP77" s="3">
        <v>-1.2999999999999984E-2</v>
      </c>
      <c r="AQ77" s="3">
        <v>1.0000000000000009E-2</v>
      </c>
      <c r="AR77" s="3">
        <v>9.3999999999999972E-2</v>
      </c>
      <c r="AS77" s="3">
        <v>-3.0000000000000027E-3</v>
      </c>
      <c r="AT77" s="3">
        <v>5.0000000000000044E-3</v>
      </c>
      <c r="AU77" s="3">
        <v>4.0000000000000036E-3</v>
      </c>
      <c r="AV77">
        <v>-1.0000000000000009E-2</v>
      </c>
      <c r="AW77">
        <v>0</v>
      </c>
      <c r="AX77">
        <v>8.9999999999999802E-3</v>
      </c>
      <c r="AY77">
        <v>-1.3000000000000012E-2</v>
      </c>
      <c r="AZ77">
        <v>-3.9999999999999758E-3</v>
      </c>
      <c r="BA77">
        <v>3.0000000000000027E-3</v>
      </c>
      <c r="BB77">
        <v>-1.3999999999999985E-2</v>
      </c>
      <c r="BC77">
        <v>-3.0000000000000027E-3</v>
      </c>
      <c r="BD77">
        <v>2.8000000000000025E-2</v>
      </c>
    </row>
    <row r="78" spans="1:56">
      <c r="A78" t="s">
        <v>209</v>
      </c>
      <c r="B78" t="s">
        <v>210</v>
      </c>
      <c r="C78">
        <v>-2.4999999999999994E-2</v>
      </c>
      <c r="D78">
        <v>-1.6999999999999987E-2</v>
      </c>
      <c r="E78">
        <v>-1.0000000000000009E-2</v>
      </c>
      <c r="F78">
        <v>-2.9999999999999749E-3</v>
      </c>
      <c r="G78">
        <v>-4.0000000000000036E-3</v>
      </c>
      <c r="H78">
        <v>2.6999999999999996E-2</v>
      </c>
      <c r="I78">
        <v>-4.0000000000000036E-3</v>
      </c>
      <c r="J78">
        <v>-3.0000000000000027E-3</v>
      </c>
      <c r="K78">
        <v>-1.2000000000000011E-2</v>
      </c>
      <c r="L78">
        <v>-3.5000000000000003E-2</v>
      </c>
      <c r="M78">
        <v>-3.2000000000000001E-2</v>
      </c>
      <c r="N78">
        <v>-4.8000000000000015E-2</v>
      </c>
      <c r="O78">
        <v>-4.0000000000000008E-2</v>
      </c>
      <c r="P78">
        <v>-2.3999999999999994E-2</v>
      </c>
      <c r="Q78">
        <v>-3.7000000000000005E-2</v>
      </c>
      <c r="R78">
        <v>-1.2000000000000011E-2</v>
      </c>
      <c r="S78">
        <v>-2.5999999999999995E-2</v>
      </c>
      <c r="T78">
        <v>-2.5000000000000022E-2</v>
      </c>
      <c r="U78" s="3">
        <v>0</v>
      </c>
      <c r="V78" s="3">
        <v>-5.0000000000000044E-3</v>
      </c>
      <c r="W78" s="3">
        <v>3.4999999999999989E-2</v>
      </c>
      <c r="X78" s="3">
        <v>-1.4000000000000012E-2</v>
      </c>
      <c r="Y78" s="3">
        <v>-2.0000000000000018E-2</v>
      </c>
      <c r="Z78" s="3">
        <v>9.000000000000008E-3</v>
      </c>
      <c r="AA78" s="3">
        <v>-2.1999999999999992E-2</v>
      </c>
      <c r="AB78" s="3">
        <v>-2.7999999999999997E-2</v>
      </c>
      <c r="AC78" s="3">
        <v>-3.6000000000000004E-2</v>
      </c>
      <c r="AD78" s="3">
        <v>-3.5000000000000003E-2</v>
      </c>
      <c r="AE78" s="3">
        <v>-3.1E-2</v>
      </c>
      <c r="AF78" s="3">
        <v>-1.999999999999999E-2</v>
      </c>
      <c r="AG78" s="3">
        <v>-4.1000000000000009E-2</v>
      </c>
      <c r="AH78" s="3">
        <v>-4.1000000000000009E-2</v>
      </c>
      <c r="AI78" s="3">
        <v>-4.6000000000000013E-2</v>
      </c>
      <c r="AJ78" s="3">
        <v>-2.4999999999999994E-2</v>
      </c>
      <c r="AK78" s="3">
        <v>-2.1000000000000019E-2</v>
      </c>
      <c r="AL78" s="3">
        <v>-4.5000000000000012E-2</v>
      </c>
      <c r="AM78" s="3">
        <v>-4.3999999999999997E-2</v>
      </c>
      <c r="AN78" s="3">
        <v>-8.9999999999999941E-3</v>
      </c>
      <c r="AO78" s="3">
        <v>-0.33999999999999997</v>
      </c>
      <c r="AP78" s="3">
        <v>-3.3000000000000002E-2</v>
      </c>
      <c r="AQ78" s="3">
        <v>-1.2999999999999984E-2</v>
      </c>
      <c r="AR78" s="3">
        <v>5.2999999999999992E-2</v>
      </c>
      <c r="AS78" s="3">
        <v>-2.3999999999999994E-2</v>
      </c>
      <c r="AT78" s="3">
        <v>-2.5999999999999995E-2</v>
      </c>
      <c r="AU78" s="3">
        <v>-2.6999999999999996E-2</v>
      </c>
      <c r="AV78">
        <v>-2.8999999999999998E-2</v>
      </c>
      <c r="AW78">
        <v>-2.5000000000000022E-2</v>
      </c>
      <c r="AX78">
        <v>-1.6000000000000014E-2</v>
      </c>
      <c r="AY78">
        <v>-4.0000000000000008E-2</v>
      </c>
      <c r="AZ78">
        <v>-3.4999999999999976E-2</v>
      </c>
      <c r="BA78">
        <v>-2.7999999999999997E-2</v>
      </c>
      <c r="BB78">
        <v>-3.8000000000000006E-2</v>
      </c>
      <c r="BC78">
        <v>-3.4000000000000002E-2</v>
      </c>
      <c r="BD78">
        <v>-3.9999999999999758E-3</v>
      </c>
    </row>
    <row r="79" spans="1:56">
      <c r="A79" t="s">
        <v>211</v>
      </c>
      <c r="B79" t="s">
        <v>212</v>
      </c>
      <c r="C79">
        <v>-2.6999999999999996E-2</v>
      </c>
      <c r="D79">
        <v>-1.3999999999999999E-2</v>
      </c>
      <c r="E79">
        <v>-3.6000000000000004E-2</v>
      </c>
      <c r="F79">
        <v>0.68199999999999994</v>
      </c>
      <c r="G79">
        <v>0.71300000000000008</v>
      </c>
      <c r="H79">
        <v>0.61899999999999999</v>
      </c>
      <c r="I79">
        <v>1.002</v>
      </c>
      <c r="J79">
        <v>0.85299999999999998</v>
      </c>
      <c r="K79">
        <v>0.85299999999999998</v>
      </c>
      <c r="L79">
        <v>0.75800000000000001</v>
      </c>
      <c r="M79">
        <v>0.754</v>
      </c>
      <c r="N79">
        <v>0.72199999999999998</v>
      </c>
      <c r="O79">
        <v>0.80699999999999994</v>
      </c>
      <c r="P79">
        <v>0.81099999999999994</v>
      </c>
      <c r="Q79">
        <v>0.76100000000000001</v>
      </c>
      <c r="R79">
        <v>0.89200000000000002</v>
      </c>
      <c r="S79">
        <v>0.82499999999999996</v>
      </c>
      <c r="T79">
        <v>0.79799999999999982</v>
      </c>
      <c r="U79" s="3">
        <v>-9.999999999999995E-3</v>
      </c>
      <c r="V79" s="3">
        <v>-9.999999999999995E-3</v>
      </c>
      <c r="W79" s="3">
        <v>3.2999999999999988E-2</v>
      </c>
      <c r="X79" s="3">
        <v>0.64399999999999991</v>
      </c>
      <c r="Y79" s="3">
        <v>0.67199999999999993</v>
      </c>
      <c r="Z79" s="3">
        <v>0.66900000000000004</v>
      </c>
      <c r="AA79" s="3">
        <v>0.995</v>
      </c>
      <c r="AB79" s="3">
        <v>0.97500000000000009</v>
      </c>
      <c r="AC79" s="3">
        <v>0.89800000000000013</v>
      </c>
      <c r="AD79" s="3">
        <v>0.89200000000000002</v>
      </c>
      <c r="AE79" s="3">
        <v>0.89500000000000013</v>
      </c>
      <c r="AF79" s="3">
        <v>0.8680000000000001</v>
      </c>
      <c r="AG79" s="3">
        <v>0.87300000000000011</v>
      </c>
      <c r="AH79" s="3">
        <v>0.8640000000000001</v>
      </c>
      <c r="AI79" s="3">
        <v>0.82</v>
      </c>
      <c r="AJ79" s="3">
        <v>0.84399999999999997</v>
      </c>
      <c r="AK79" s="3">
        <v>0.84200000000000008</v>
      </c>
      <c r="AL79" s="3">
        <v>0.79200000000000004</v>
      </c>
      <c r="AM79" s="3">
        <v>-5.7999999999999996E-2</v>
      </c>
      <c r="AN79" s="3">
        <v>-7.9999999999999932E-3</v>
      </c>
      <c r="AO79" s="3">
        <v>-0.34899999999999998</v>
      </c>
      <c r="AP79" s="3">
        <v>0.62</v>
      </c>
      <c r="AQ79" s="3">
        <v>0.63100000000000001</v>
      </c>
      <c r="AR79" s="3">
        <v>0.65399999999999991</v>
      </c>
      <c r="AS79" s="3">
        <v>0.98199999999999998</v>
      </c>
      <c r="AT79" s="3">
        <v>0.99899999999999989</v>
      </c>
      <c r="AU79" s="3">
        <v>0.999</v>
      </c>
      <c r="AV79">
        <v>0.92699999999999994</v>
      </c>
      <c r="AW79">
        <v>0.91100000000000003</v>
      </c>
      <c r="AX79">
        <v>0.91700000000000004</v>
      </c>
      <c r="AY79">
        <v>0.85200000000000009</v>
      </c>
      <c r="AZ79">
        <v>0.88200000000000012</v>
      </c>
      <c r="BA79">
        <v>0.89400000000000013</v>
      </c>
      <c r="BB79">
        <v>0.81800000000000006</v>
      </c>
      <c r="BC79">
        <v>0.85499999999999998</v>
      </c>
      <c r="BD79">
        <v>0.89300000000000013</v>
      </c>
    </row>
    <row r="80" spans="1:56">
      <c r="A80" t="s">
        <v>213</v>
      </c>
      <c r="B80" t="s">
        <v>214</v>
      </c>
      <c r="C80">
        <v>4.1000000000000009E-2</v>
      </c>
      <c r="D80">
        <v>2.8999999999999998E-2</v>
      </c>
      <c r="E80">
        <v>0</v>
      </c>
      <c r="F80">
        <v>0.17499999999999999</v>
      </c>
      <c r="G80">
        <v>0.26200000000000001</v>
      </c>
      <c r="H80">
        <v>0.224</v>
      </c>
      <c r="I80">
        <v>0.154</v>
      </c>
      <c r="J80">
        <v>0.23100000000000001</v>
      </c>
      <c r="K80">
        <v>0.126</v>
      </c>
      <c r="L80">
        <v>0.11399999999999999</v>
      </c>
      <c r="M80">
        <v>0.188</v>
      </c>
      <c r="N80">
        <v>0.10300000000000001</v>
      </c>
      <c r="O80">
        <v>9.9999999999999978E-2</v>
      </c>
      <c r="P80">
        <v>0.189</v>
      </c>
      <c r="Q80">
        <v>0.11700000000000002</v>
      </c>
      <c r="R80">
        <v>0.19499999999999998</v>
      </c>
      <c r="S80">
        <v>0.184</v>
      </c>
      <c r="T80">
        <v>0.13700000000000001</v>
      </c>
      <c r="U80" s="3">
        <v>1.0000000000000009E-3</v>
      </c>
      <c r="V80" s="3">
        <v>1.0000000000000009E-3</v>
      </c>
      <c r="W80" s="3">
        <v>5.6000000000000008E-2</v>
      </c>
      <c r="X80" s="3">
        <v>0.184</v>
      </c>
      <c r="Y80" s="3">
        <v>0.22099999999999997</v>
      </c>
      <c r="Z80" s="3">
        <v>0.27700000000000002</v>
      </c>
      <c r="AA80" s="3">
        <v>0.28400000000000003</v>
      </c>
      <c r="AB80" s="3">
        <v>0.29800000000000004</v>
      </c>
      <c r="AC80" s="3">
        <v>0.32800000000000007</v>
      </c>
      <c r="AD80" s="3">
        <v>0.28600000000000003</v>
      </c>
      <c r="AE80" s="3">
        <v>0.31400000000000006</v>
      </c>
      <c r="AF80" s="3">
        <v>0.36</v>
      </c>
      <c r="AG80" s="3">
        <v>0.28900000000000003</v>
      </c>
      <c r="AH80" s="3">
        <v>0.30700000000000005</v>
      </c>
      <c r="AI80" s="3">
        <v>0.32800000000000007</v>
      </c>
      <c r="AJ80" s="3">
        <v>0.30000000000000004</v>
      </c>
      <c r="AK80" s="3">
        <v>0.33400000000000002</v>
      </c>
      <c r="AL80" s="3">
        <v>0.33200000000000007</v>
      </c>
      <c r="AM80" s="3">
        <v>-1.4000000000000012E-2</v>
      </c>
      <c r="AN80" s="3">
        <v>1.0000000000000009E-2</v>
      </c>
      <c r="AO80" s="3">
        <v>-0.29499999999999998</v>
      </c>
      <c r="AP80" s="3">
        <v>0.21</v>
      </c>
      <c r="AQ80" s="3">
        <v>0.13500000000000001</v>
      </c>
      <c r="AR80" s="3">
        <v>0.183</v>
      </c>
      <c r="AS80" s="3">
        <v>0.27200000000000002</v>
      </c>
      <c r="AT80" s="3">
        <v>0.21899999999999997</v>
      </c>
      <c r="AU80" s="3">
        <v>0.29200000000000004</v>
      </c>
      <c r="AV80">
        <v>0.28300000000000003</v>
      </c>
      <c r="AW80">
        <v>0.23799999999999999</v>
      </c>
      <c r="AX80">
        <v>0.30499999999999999</v>
      </c>
      <c r="AY80">
        <v>0.27200000000000002</v>
      </c>
      <c r="AZ80">
        <v>0.23200000000000001</v>
      </c>
      <c r="BA80">
        <v>0.30700000000000005</v>
      </c>
      <c r="BB80">
        <v>0.27600000000000002</v>
      </c>
      <c r="BC80">
        <v>0.22699999999999998</v>
      </c>
      <c r="BD80">
        <v>0.32400000000000007</v>
      </c>
    </row>
    <row r="81" spans="1:56">
      <c r="A81" t="s">
        <v>215</v>
      </c>
      <c r="B81" t="s">
        <v>216</v>
      </c>
      <c r="C81">
        <v>-1.9000000000000003E-2</v>
      </c>
      <c r="D81">
        <v>-7.9999999999999932E-3</v>
      </c>
      <c r="E81">
        <v>-2.8000000000000011E-2</v>
      </c>
      <c r="F81">
        <v>-6.1999999999999986E-2</v>
      </c>
      <c r="G81">
        <v>-5.6999999999999995E-2</v>
      </c>
      <c r="H81">
        <v>-5.2000000000000005E-2</v>
      </c>
      <c r="I81">
        <v>-5.4000000000000006E-2</v>
      </c>
      <c r="J81">
        <v>-4.7000000000000014E-2</v>
      </c>
      <c r="K81">
        <v>-7.9000000000000001E-2</v>
      </c>
      <c r="L81">
        <v>-7.4999999999999997E-2</v>
      </c>
      <c r="M81">
        <v>-5.5999999999999994E-2</v>
      </c>
      <c r="N81">
        <v>-0.10700000000000001</v>
      </c>
      <c r="O81">
        <v>7.1000000000000008E-2</v>
      </c>
      <c r="P81">
        <v>-4.3999999999999984E-2</v>
      </c>
      <c r="Q81">
        <v>-9.0999999999999998E-2</v>
      </c>
      <c r="R81">
        <v>-5.4000000000000006E-2</v>
      </c>
      <c r="S81">
        <v>-4.2999999999999983E-2</v>
      </c>
      <c r="T81">
        <v>-7.9000000000000015E-2</v>
      </c>
      <c r="U81" s="3">
        <v>1.0000000000000009E-3</v>
      </c>
      <c r="V81" s="3">
        <v>-3.0000000000000027E-3</v>
      </c>
      <c r="W81" s="3">
        <v>0.05</v>
      </c>
      <c r="X81" s="3">
        <v>-0.08</v>
      </c>
      <c r="Y81" s="3">
        <v>-8.7000000000000008E-2</v>
      </c>
      <c r="Z81" s="3">
        <v>-4.2999999999999983E-2</v>
      </c>
      <c r="AA81" s="3">
        <v>-9.1999999999999985E-2</v>
      </c>
      <c r="AB81" s="3">
        <v>-9.3999999999999986E-2</v>
      </c>
      <c r="AC81" s="3">
        <v>-9.799999999999999E-2</v>
      </c>
      <c r="AD81" s="3">
        <v>-9.7000000000000003E-2</v>
      </c>
      <c r="AE81" s="3">
        <v>-9.1999999999999985E-2</v>
      </c>
      <c r="AF81" s="3">
        <v>-6.9999999999999979E-2</v>
      </c>
      <c r="AG81" s="3">
        <v>-9.7000000000000003E-2</v>
      </c>
      <c r="AH81" s="3">
        <v>-9.7000000000000003E-2</v>
      </c>
      <c r="AI81" s="3">
        <v>-0.10100000000000001</v>
      </c>
      <c r="AJ81" s="3">
        <v>-9.4E-2</v>
      </c>
      <c r="AK81" s="3">
        <v>-8.6000000000000007E-2</v>
      </c>
      <c r="AL81" s="3">
        <v>-0.1</v>
      </c>
      <c r="AM81" s="3">
        <v>-4.7E-2</v>
      </c>
      <c r="AN81" s="3">
        <v>-2.0000000000000018E-3</v>
      </c>
      <c r="AO81" s="3">
        <v>-0.313</v>
      </c>
      <c r="AP81" s="3">
        <v>-9.2999999999999999E-2</v>
      </c>
      <c r="AQ81" s="3">
        <v>-7.5999999999999998E-2</v>
      </c>
      <c r="AR81" s="3">
        <v>-2.0000000000000018E-3</v>
      </c>
      <c r="AS81" s="3">
        <v>-8.6999999999999994E-2</v>
      </c>
      <c r="AT81" s="3">
        <v>-8.8000000000000009E-2</v>
      </c>
      <c r="AU81" s="3">
        <v>-9.4999999999999987E-2</v>
      </c>
      <c r="AV81">
        <v>-9.4E-2</v>
      </c>
      <c r="AW81">
        <v>-8.900000000000001E-2</v>
      </c>
      <c r="AX81">
        <v>-8.8000000000000009E-2</v>
      </c>
      <c r="AY81">
        <v>-9.4E-2</v>
      </c>
      <c r="AZ81">
        <v>-9.5999999999999988E-2</v>
      </c>
      <c r="BA81">
        <v>-9.4999999999999987E-2</v>
      </c>
      <c r="BB81">
        <v>-8.6999999999999994E-2</v>
      </c>
      <c r="BC81">
        <v>-8.900000000000001E-2</v>
      </c>
      <c r="BD81">
        <v>-0.06</v>
      </c>
    </row>
    <row r="82" spans="1:56">
      <c r="A82" t="s">
        <v>217</v>
      </c>
      <c r="B82" t="s">
        <v>218</v>
      </c>
      <c r="C82">
        <v>-6.9999999999999923E-3</v>
      </c>
      <c r="D82">
        <v>4.0000000000000036E-3</v>
      </c>
      <c r="E82">
        <v>1.0000000000000009E-3</v>
      </c>
      <c r="F82">
        <v>-0.03</v>
      </c>
      <c r="G82">
        <v>0.24199999999999999</v>
      </c>
      <c r="H82">
        <v>1.1999999999999983E-2</v>
      </c>
      <c r="I82">
        <v>8.299999999999999E-2</v>
      </c>
      <c r="J82">
        <v>0.57799999999999996</v>
      </c>
      <c r="K82">
        <v>8.1000000000000016E-2</v>
      </c>
      <c r="L82">
        <v>7.5000000000000011E-2</v>
      </c>
      <c r="M82">
        <v>0.52099999999999991</v>
      </c>
      <c r="N82">
        <v>5.0000000000000017E-2</v>
      </c>
      <c r="O82">
        <v>0.23199999999999998</v>
      </c>
      <c r="P82">
        <v>0.50600000000000001</v>
      </c>
      <c r="Q82">
        <v>6.5999999999999975E-2</v>
      </c>
      <c r="R82">
        <v>8.299999999999999E-2</v>
      </c>
      <c r="S82">
        <v>0.49400000000000005</v>
      </c>
      <c r="T82">
        <v>7.5000000000000011E-2</v>
      </c>
      <c r="U82" s="3">
        <v>1.2999999999999998E-2</v>
      </c>
      <c r="V82" s="3">
        <v>1.8000000000000002E-2</v>
      </c>
      <c r="W82" s="3">
        <v>4.8000000000000001E-2</v>
      </c>
      <c r="X82" s="3">
        <v>-7.3000000000000009E-2</v>
      </c>
      <c r="Y82" s="3">
        <v>-3.2000000000000001E-2</v>
      </c>
      <c r="Z82" s="3">
        <v>-1.1999999999999983E-2</v>
      </c>
      <c r="AA82" s="3">
        <v>-8.5999999999999993E-2</v>
      </c>
      <c r="AB82" s="3">
        <v>9.7000000000000003E-2</v>
      </c>
      <c r="AC82" s="3">
        <v>5.1000000000000018E-2</v>
      </c>
      <c r="AD82" s="3">
        <v>-9.2999999999999999E-2</v>
      </c>
      <c r="AE82" s="3">
        <v>0.12500000000000003</v>
      </c>
      <c r="AF82" s="3">
        <v>9.1999999999999998E-2</v>
      </c>
      <c r="AG82" s="3">
        <v>-9.4E-2</v>
      </c>
      <c r="AH82" s="3">
        <v>0.12200000000000003</v>
      </c>
      <c r="AI82" s="3">
        <v>0.09</v>
      </c>
      <c r="AJ82" s="3">
        <v>-9.1999999999999998E-2</v>
      </c>
      <c r="AK82" s="3">
        <v>0.14199999999999996</v>
      </c>
      <c r="AL82" s="3">
        <v>9.6000000000000002E-2</v>
      </c>
      <c r="AM82" s="3">
        <v>-3.1E-2</v>
      </c>
      <c r="AN82" s="3">
        <v>1.100000000000001E-2</v>
      </c>
      <c r="AO82" s="3">
        <v>-0.35599999999999998</v>
      </c>
      <c r="AP82" s="3">
        <v>-6.4000000000000001E-2</v>
      </c>
      <c r="AQ82" s="3">
        <v>-1.8999999999999989E-2</v>
      </c>
      <c r="AR82" s="3">
        <v>-6.0000000000000053E-3</v>
      </c>
      <c r="AS82" s="3">
        <v>3.1E-2</v>
      </c>
      <c r="AT82" s="3">
        <v>3.5000000000000003E-2</v>
      </c>
      <c r="AU82" s="3">
        <v>-7.4999999999999983E-2</v>
      </c>
      <c r="AV82">
        <v>4.8000000000000015E-2</v>
      </c>
      <c r="AW82">
        <v>6.2E-2</v>
      </c>
      <c r="AX82">
        <v>-6.2E-2</v>
      </c>
      <c r="AY82">
        <v>5.7000000000000023E-2</v>
      </c>
      <c r="AZ82">
        <v>7.3000000000000037E-2</v>
      </c>
      <c r="BA82">
        <v>-6.5000000000000002E-2</v>
      </c>
      <c r="BB82">
        <v>6.0000000000000026E-2</v>
      </c>
      <c r="BC82">
        <v>8.1999999999999962E-2</v>
      </c>
      <c r="BD82">
        <v>-5.7999999999999996E-2</v>
      </c>
    </row>
    <row r="83" spans="1:56">
      <c r="A83" t="s">
        <v>219</v>
      </c>
      <c r="B83" t="s">
        <v>220</v>
      </c>
      <c r="C83">
        <v>-1.9000000000000003E-2</v>
      </c>
      <c r="D83">
        <v>-6.9999999999999923E-3</v>
      </c>
      <c r="E83">
        <v>-2.9000000000000012E-2</v>
      </c>
      <c r="F83">
        <v>-6.1999999999999986E-2</v>
      </c>
      <c r="G83">
        <v>-6.3999999999999987E-2</v>
      </c>
      <c r="H83">
        <v>-6.1000000000000013E-2</v>
      </c>
      <c r="I83">
        <v>-5.6000000000000008E-2</v>
      </c>
      <c r="J83">
        <v>-5.9000000000000011E-2</v>
      </c>
      <c r="K83">
        <v>-8.8000000000000009E-2</v>
      </c>
      <c r="L83">
        <v>-7.8E-2</v>
      </c>
      <c r="M83">
        <v>-6.9999999999999993E-2</v>
      </c>
      <c r="N83">
        <v>-0.11800000000000001</v>
      </c>
      <c r="O83">
        <v>-4.1000000000000009E-2</v>
      </c>
      <c r="P83">
        <v>-5.7999999999999982E-2</v>
      </c>
      <c r="Q83">
        <v>-0.104</v>
      </c>
      <c r="R83">
        <v>-5.800000000000001E-2</v>
      </c>
      <c r="S83">
        <v>-5.6999999999999995E-2</v>
      </c>
      <c r="T83">
        <v>-8.8000000000000009E-2</v>
      </c>
      <c r="U83" s="3">
        <v>-7.0000000000000062E-3</v>
      </c>
      <c r="V83" s="3">
        <v>-5.0000000000000044E-3</v>
      </c>
      <c r="W83" s="3">
        <v>-6.0000000000000053E-3</v>
      </c>
      <c r="X83" s="3">
        <v>-8.2000000000000003E-2</v>
      </c>
      <c r="Y83" s="3">
        <v>-7.9000000000000015E-2</v>
      </c>
      <c r="Z83" s="3">
        <v>-8.6999999999999994E-2</v>
      </c>
      <c r="AA83" s="3">
        <v>-7.5999999999999984E-2</v>
      </c>
      <c r="AB83" s="3">
        <v>-4.7999999999999987E-2</v>
      </c>
      <c r="AC83" s="3">
        <v>-7.1000000000000008E-2</v>
      </c>
      <c r="AD83" s="3">
        <v>-4.5999999999999985E-2</v>
      </c>
      <c r="AE83" s="3">
        <v>-2.8999999999999998E-2</v>
      </c>
      <c r="AF83" s="3">
        <v>-4.1999999999999982E-2</v>
      </c>
      <c r="AG83" s="3">
        <v>-1.4000000000000012E-2</v>
      </c>
      <c r="AH83" s="3">
        <v>1.8999999999999989E-2</v>
      </c>
      <c r="AI83" s="3">
        <v>-4.0000000000000036E-3</v>
      </c>
      <c r="AJ83" s="3">
        <v>2.4999999999999994E-2</v>
      </c>
      <c r="AK83" s="3">
        <v>7.1000000000000008E-2</v>
      </c>
      <c r="AL83" s="3">
        <v>3.4000000000000002E-2</v>
      </c>
      <c r="AM83" s="3">
        <v>-5.4000000000000006E-2</v>
      </c>
      <c r="AN83" s="3">
        <v>-3.9999999999999897E-3</v>
      </c>
      <c r="AO83" s="3">
        <v>-0.38700000000000001</v>
      </c>
      <c r="AP83" s="3">
        <v>-9.2999999999999999E-2</v>
      </c>
      <c r="AQ83" s="3">
        <v>-6.4000000000000001E-2</v>
      </c>
      <c r="AR83" s="3">
        <v>-6.6000000000000003E-2</v>
      </c>
      <c r="AS83" s="3">
        <v>-5.8999999999999997E-2</v>
      </c>
      <c r="AT83" s="3">
        <v>-4.300000000000001E-2</v>
      </c>
      <c r="AU83" s="3">
        <v>-8.0999999999999989E-2</v>
      </c>
      <c r="AV83">
        <v>-2.4999999999999994E-2</v>
      </c>
      <c r="AW83">
        <v>-1.9000000000000017E-2</v>
      </c>
      <c r="AX83">
        <v>-2.5000000000000022E-2</v>
      </c>
      <c r="AY83">
        <v>0</v>
      </c>
      <c r="AZ83">
        <v>-2.9999999999999749E-3</v>
      </c>
      <c r="BA83">
        <v>-7.9999999999999793E-3</v>
      </c>
      <c r="BB83">
        <v>-1.0000000000000009E-3</v>
      </c>
      <c r="BC83">
        <v>3.999999999999998E-2</v>
      </c>
      <c r="BD83">
        <v>1.100000000000001E-2</v>
      </c>
    </row>
    <row r="84" spans="1:56">
      <c r="A84" t="s">
        <v>221</v>
      </c>
      <c r="B84" t="s">
        <v>222</v>
      </c>
      <c r="C84">
        <v>2.2999999999999993E-2</v>
      </c>
      <c r="D84">
        <v>0.15000000000000002</v>
      </c>
      <c r="E84">
        <v>4.4999999999999984E-2</v>
      </c>
      <c r="F84">
        <v>0.33300000000000002</v>
      </c>
      <c r="G84">
        <v>0.41799999999999998</v>
      </c>
      <c r="H84">
        <v>0.36699999999999999</v>
      </c>
      <c r="I84">
        <v>0.70899999999999996</v>
      </c>
      <c r="J84">
        <v>0.70899999999999996</v>
      </c>
      <c r="K84">
        <v>0.625</v>
      </c>
      <c r="L84">
        <v>0.7649999999999999</v>
      </c>
      <c r="M84">
        <v>0.70100000000000007</v>
      </c>
      <c r="N84">
        <v>0.59</v>
      </c>
      <c r="O84">
        <v>0.72199999999999998</v>
      </c>
      <c r="P84">
        <v>0.69700000000000006</v>
      </c>
      <c r="Q84">
        <v>0.51600000000000001</v>
      </c>
      <c r="R84">
        <v>0.70299999999999996</v>
      </c>
      <c r="S84">
        <v>0.6419999999999999</v>
      </c>
      <c r="T84">
        <v>0.50099999999999989</v>
      </c>
      <c r="U84" s="3">
        <v>1.9000000000000003E-2</v>
      </c>
      <c r="V84" s="3">
        <v>2.700000000000001E-2</v>
      </c>
      <c r="W84" s="3">
        <v>5.5000000000000007E-2</v>
      </c>
      <c r="X84" s="3">
        <v>0.32400000000000001</v>
      </c>
      <c r="Y84" s="3">
        <v>0.40099999999999997</v>
      </c>
      <c r="Z84" s="3">
        <v>0.39900000000000002</v>
      </c>
      <c r="AA84" s="3">
        <v>0.63500000000000001</v>
      </c>
      <c r="AB84" s="3">
        <v>0.66300000000000003</v>
      </c>
      <c r="AC84" s="3">
        <v>0.628</v>
      </c>
      <c r="AD84" s="3">
        <v>0.69700000000000006</v>
      </c>
      <c r="AE84" s="3">
        <v>0.71800000000000008</v>
      </c>
      <c r="AF84" s="3">
        <v>0.68600000000000005</v>
      </c>
      <c r="AG84" s="3">
        <v>0.72299999999999998</v>
      </c>
      <c r="AH84" s="3">
        <v>0.73199999999999998</v>
      </c>
      <c r="AI84" s="3">
        <v>0.71200000000000008</v>
      </c>
      <c r="AJ84" s="3">
        <v>0.73699999999999999</v>
      </c>
      <c r="AK84" s="3">
        <v>0.76200000000000001</v>
      </c>
      <c r="AL84" s="3">
        <v>0.72499999999999998</v>
      </c>
      <c r="AM84" s="3">
        <v>-1.999999999999999E-2</v>
      </c>
      <c r="AN84" s="3">
        <v>1.3999999999999999E-2</v>
      </c>
      <c r="AO84" s="3">
        <v>-0.28899999999999998</v>
      </c>
      <c r="AP84" s="3">
        <v>0.31500000000000006</v>
      </c>
      <c r="AQ84" s="3">
        <v>0.30399999999999999</v>
      </c>
      <c r="AR84" s="3">
        <v>0.23899999999999999</v>
      </c>
      <c r="AS84" s="3">
        <v>0.64400000000000002</v>
      </c>
      <c r="AT84" s="3">
        <v>0.62799999999999989</v>
      </c>
      <c r="AU84" s="3">
        <v>0.55100000000000005</v>
      </c>
      <c r="AV84">
        <v>0.70700000000000007</v>
      </c>
      <c r="AW84">
        <v>0.70799999999999996</v>
      </c>
      <c r="AX84">
        <v>0.68700000000000006</v>
      </c>
      <c r="AY84">
        <v>0.72599999999999998</v>
      </c>
      <c r="AZ84">
        <v>0.72000000000000008</v>
      </c>
      <c r="BA84">
        <v>0.70500000000000007</v>
      </c>
      <c r="BB84">
        <v>0.754</v>
      </c>
      <c r="BC84">
        <v>0.74499999999999988</v>
      </c>
      <c r="BD84">
        <v>0.72200000000000009</v>
      </c>
    </row>
    <row r="85" spans="1:56">
      <c r="A85" t="s">
        <v>223</v>
      </c>
      <c r="B85" t="s">
        <v>224</v>
      </c>
      <c r="C85">
        <v>-2.0000000000000004E-2</v>
      </c>
      <c r="D85">
        <v>-1.7999999999999988E-2</v>
      </c>
      <c r="E85">
        <v>-2.0000000000000018E-3</v>
      </c>
      <c r="F85">
        <v>9.000000000000008E-3</v>
      </c>
      <c r="G85">
        <v>-9.9999999999999811E-3</v>
      </c>
      <c r="H85">
        <v>6.9999999999999785E-3</v>
      </c>
      <c r="I85">
        <v>-1.8000000000000016E-2</v>
      </c>
      <c r="J85">
        <v>-2.200000000000002E-2</v>
      </c>
      <c r="K85">
        <v>-4.200000000000001E-2</v>
      </c>
      <c r="L85">
        <v>-3.1E-2</v>
      </c>
      <c r="M85">
        <v>-3.4000000000000002E-2</v>
      </c>
      <c r="N85">
        <v>-6.5000000000000002E-2</v>
      </c>
      <c r="O85">
        <v>-2.1999999999999992E-2</v>
      </c>
      <c r="P85">
        <v>-6.9999999999999785E-3</v>
      </c>
      <c r="Q85">
        <v>-4.4000000000000011E-2</v>
      </c>
      <c r="R85">
        <v>7.0000000000000062E-3</v>
      </c>
      <c r="S85">
        <v>-1.0000000000000009E-3</v>
      </c>
      <c r="T85">
        <v>-2.7000000000000024E-2</v>
      </c>
      <c r="U85" s="3">
        <v>-1.2999999999999998E-2</v>
      </c>
      <c r="V85" s="3">
        <v>-7.9999999999999932E-3</v>
      </c>
      <c r="W85" s="3">
        <v>5.4000000000000006E-2</v>
      </c>
      <c r="X85" s="3">
        <v>1.1999999999999983E-2</v>
      </c>
      <c r="Y85" s="3">
        <v>1.7999999999999988E-2</v>
      </c>
      <c r="Z85" s="3">
        <v>1.5000000000000013E-2</v>
      </c>
      <c r="AA85" s="3">
        <v>4.0000000000000036E-3</v>
      </c>
      <c r="AB85" s="3">
        <v>1.0000000000000009E-2</v>
      </c>
      <c r="AC85" s="3">
        <v>3.0000000000000027E-3</v>
      </c>
      <c r="AD85" s="3">
        <v>1.0000000000000009E-3</v>
      </c>
      <c r="AE85" s="3">
        <v>6.0000000000000053E-3</v>
      </c>
      <c r="AF85" s="3">
        <v>2.0000000000000018E-3</v>
      </c>
      <c r="AG85" s="3">
        <v>1.0000000000000009E-2</v>
      </c>
      <c r="AH85" s="3">
        <v>7.0000000000000062E-3</v>
      </c>
      <c r="AI85" s="3">
        <v>-1.0000000000000009E-3</v>
      </c>
      <c r="AJ85" s="3">
        <v>7.0000000000000062E-3</v>
      </c>
      <c r="AK85" s="3">
        <v>2.5999999999999995E-2</v>
      </c>
      <c r="AL85" s="3">
        <v>3.0000000000000027E-3</v>
      </c>
      <c r="AM85" s="3">
        <v>-5.1000000000000004E-2</v>
      </c>
      <c r="AN85" s="3">
        <v>-8.9999999999999941E-3</v>
      </c>
      <c r="AO85" s="3">
        <v>-0.30599999999999999</v>
      </c>
      <c r="AP85" s="3">
        <v>-2.0000000000000018E-3</v>
      </c>
      <c r="AQ85" s="3">
        <v>-6.0000000000000053E-3</v>
      </c>
      <c r="AR85" s="3">
        <v>7.1000000000000008E-2</v>
      </c>
      <c r="AS85" s="3">
        <v>1.100000000000001E-2</v>
      </c>
      <c r="AT85" s="3">
        <v>-8.0000000000000071E-3</v>
      </c>
      <c r="AU85" s="3">
        <v>1.7000000000000015E-2</v>
      </c>
      <c r="AV85">
        <v>4.0000000000000036E-3</v>
      </c>
      <c r="AW85">
        <v>-1.5000000000000013E-2</v>
      </c>
      <c r="AX85">
        <v>2.2999999999999993E-2</v>
      </c>
      <c r="AY85">
        <v>7.0000000000000062E-3</v>
      </c>
      <c r="AZ85">
        <v>-1.3999999999999985E-2</v>
      </c>
      <c r="BA85">
        <v>2.200000000000002E-2</v>
      </c>
      <c r="BB85">
        <v>1.2000000000000011E-2</v>
      </c>
      <c r="BC85">
        <v>-1.3000000000000012E-2</v>
      </c>
      <c r="BD85">
        <v>2.1000000000000019E-2</v>
      </c>
    </row>
    <row r="86" spans="1:56">
      <c r="A86" t="s">
        <v>225</v>
      </c>
      <c r="B86" t="s">
        <v>226</v>
      </c>
      <c r="C86">
        <v>-2.7999999999999997E-2</v>
      </c>
      <c r="D86">
        <v>-1.7999999999999988E-2</v>
      </c>
      <c r="E86">
        <v>-3.5000000000000003E-2</v>
      </c>
      <c r="F86">
        <v>7.0000000000000062E-3</v>
      </c>
      <c r="G86">
        <v>-1.3999999999999985E-2</v>
      </c>
      <c r="H86">
        <v>4.9999999999999767E-3</v>
      </c>
      <c r="I86">
        <v>-1.4000000000000012E-2</v>
      </c>
      <c r="J86">
        <v>-2.9000000000000026E-2</v>
      </c>
      <c r="K86">
        <v>-4.5000000000000012E-2</v>
      </c>
      <c r="L86">
        <v>-3.2000000000000001E-2</v>
      </c>
      <c r="M86">
        <v>-2.6999999999999996E-2</v>
      </c>
      <c r="N86">
        <v>-6.2E-2</v>
      </c>
      <c r="O86">
        <v>-3.1E-2</v>
      </c>
      <c r="P86">
        <v>-1.6999999999999987E-2</v>
      </c>
      <c r="Q86">
        <v>-4.8999999999999988E-2</v>
      </c>
      <c r="R86">
        <v>0</v>
      </c>
      <c r="S86">
        <v>-2.2999999999999993E-2</v>
      </c>
      <c r="T86">
        <v>-3.7000000000000005E-2</v>
      </c>
      <c r="U86" s="3">
        <v>-1.3999999999999999E-2</v>
      </c>
      <c r="V86" s="3">
        <v>-9.999999999999995E-3</v>
      </c>
      <c r="W86" s="3">
        <v>2.3000000000000007E-2</v>
      </c>
      <c r="X86" s="3">
        <v>8.9999999999999802E-3</v>
      </c>
      <c r="Y86" s="3">
        <v>9.9999999999999811E-3</v>
      </c>
      <c r="Z86" s="3">
        <v>3.0000000000000027E-3</v>
      </c>
      <c r="AA86" s="3">
        <v>-7.9999999999999793E-3</v>
      </c>
      <c r="AB86" s="3">
        <v>3.0000000000000027E-3</v>
      </c>
      <c r="AC86" s="3">
        <v>-1.3999999999999985E-2</v>
      </c>
      <c r="AD86" s="3">
        <v>-1.3000000000000012E-2</v>
      </c>
      <c r="AE86" s="3">
        <v>7.0000000000000062E-3</v>
      </c>
      <c r="AF86" s="3">
        <v>-8.9999999999999802E-3</v>
      </c>
      <c r="AG86" s="3">
        <v>-1.6999999999999987E-2</v>
      </c>
      <c r="AH86" s="3">
        <v>-5.0000000000000044E-3</v>
      </c>
      <c r="AI86" s="3">
        <v>-1.0000000000000009E-2</v>
      </c>
      <c r="AJ86" s="3">
        <v>-8.0000000000000071E-3</v>
      </c>
      <c r="AK86" s="3">
        <v>1.1999999999999983E-2</v>
      </c>
      <c r="AL86" s="3">
        <v>-9.000000000000008E-3</v>
      </c>
      <c r="AM86" s="3">
        <v>-5.6000000000000008E-2</v>
      </c>
      <c r="AN86" s="3">
        <v>-9.999999999999995E-3</v>
      </c>
      <c r="AO86" s="3">
        <v>-0.35399999999999998</v>
      </c>
      <c r="AP86" s="3">
        <v>-6.0000000000000053E-3</v>
      </c>
      <c r="AQ86" s="3">
        <v>1.9000000000000017E-2</v>
      </c>
      <c r="AR86" s="3">
        <v>7.1000000000000008E-2</v>
      </c>
      <c r="AS86" s="3">
        <v>3.0000000000000027E-3</v>
      </c>
      <c r="AT86" s="3">
        <v>4.0000000000000036E-3</v>
      </c>
      <c r="AU86" s="3">
        <v>1.2000000000000011E-2</v>
      </c>
      <c r="AV86">
        <v>-5.0000000000000044E-3</v>
      </c>
      <c r="AW86">
        <v>3.0000000000000027E-3</v>
      </c>
      <c r="AX86">
        <v>2.1999999999999992E-2</v>
      </c>
      <c r="AY86">
        <v>-7.0000000000000062E-3</v>
      </c>
      <c r="AZ86">
        <v>-6.9999999999999785E-3</v>
      </c>
      <c r="BA86">
        <v>2.0000000000000018E-2</v>
      </c>
      <c r="BB86">
        <v>-6.0000000000000053E-3</v>
      </c>
      <c r="BC86">
        <v>-3.0000000000000027E-3</v>
      </c>
      <c r="BD86">
        <v>3.3000000000000002E-2</v>
      </c>
    </row>
    <row r="87" spans="1:56">
      <c r="A87" t="s">
        <v>227</v>
      </c>
      <c r="B87" t="s">
        <v>228</v>
      </c>
      <c r="C87">
        <v>-1.8000000000000002E-2</v>
      </c>
      <c r="D87">
        <v>-9.999999999999995E-3</v>
      </c>
      <c r="E87">
        <v>-3.8000000000000006E-2</v>
      </c>
      <c r="F87">
        <v>5.6000000000000022E-2</v>
      </c>
      <c r="G87">
        <v>1.7000000000000015E-2</v>
      </c>
      <c r="H87">
        <v>3.5000000000000003E-2</v>
      </c>
      <c r="I87">
        <v>1.7999999999999988E-2</v>
      </c>
      <c r="J87">
        <v>8.5999999999999993E-2</v>
      </c>
      <c r="K87">
        <v>-1.6000000000000014E-2</v>
      </c>
      <c r="L87">
        <v>2.0999999999999991E-2</v>
      </c>
      <c r="M87">
        <v>3.4000000000000002E-2</v>
      </c>
      <c r="N87">
        <v>-1.5000000000000013E-2</v>
      </c>
      <c r="O87">
        <v>4.4999999999999984E-2</v>
      </c>
      <c r="P87">
        <v>6.8000000000000005E-2</v>
      </c>
      <c r="Q87">
        <v>3.0000000000000027E-3</v>
      </c>
      <c r="R87">
        <v>8.0999999999999989E-2</v>
      </c>
      <c r="S87">
        <v>7.7000000000000013E-2</v>
      </c>
      <c r="T87">
        <v>1.999999999999999E-2</v>
      </c>
      <c r="U87" s="3">
        <v>-1.1999999999999997E-2</v>
      </c>
      <c r="V87" s="3">
        <v>-8.9999999999999941E-3</v>
      </c>
      <c r="W87" s="3">
        <v>9.999999999999995E-3</v>
      </c>
      <c r="X87" s="3">
        <v>3.4000000000000002E-2</v>
      </c>
      <c r="Y87" s="3">
        <v>6.7000000000000004E-2</v>
      </c>
      <c r="Z87" s="3">
        <v>4.300000000000001E-2</v>
      </c>
      <c r="AA87" s="3">
        <v>4.5000000000000012E-2</v>
      </c>
      <c r="AB87" s="3">
        <v>7.2000000000000036E-2</v>
      </c>
      <c r="AC87" s="3">
        <v>4.300000000000001E-2</v>
      </c>
      <c r="AD87" s="3">
        <v>6.3000000000000028E-2</v>
      </c>
      <c r="AE87" s="3">
        <v>8.7999999999999995E-2</v>
      </c>
      <c r="AF87" s="3">
        <v>6.500000000000003E-2</v>
      </c>
      <c r="AG87" s="3">
        <v>6.2999999999999973E-2</v>
      </c>
      <c r="AH87" s="3">
        <v>0.10400000000000001</v>
      </c>
      <c r="AI87" s="3">
        <v>6.4999999999999974E-2</v>
      </c>
      <c r="AJ87" s="3">
        <v>7.8999999999999987E-2</v>
      </c>
      <c r="AK87" s="3">
        <v>0.128</v>
      </c>
      <c r="AL87" s="3">
        <v>7.6999999999999985E-2</v>
      </c>
      <c r="AM87" s="3">
        <v>-5.8999999999999997E-2</v>
      </c>
      <c r="AN87" s="3">
        <v>-7.9999999999999932E-3</v>
      </c>
      <c r="AO87" s="3">
        <v>-0.313</v>
      </c>
      <c r="AP87" s="3">
        <v>2.4999999999999994E-2</v>
      </c>
      <c r="AQ87" s="3">
        <v>4.4000000000000011E-2</v>
      </c>
      <c r="AR87" s="3">
        <v>7.1000000000000008E-2</v>
      </c>
      <c r="AS87" s="3">
        <v>4.5000000000000012E-2</v>
      </c>
      <c r="AT87" s="3">
        <v>4.3999999999999984E-2</v>
      </c>
      <c r="AU87" s="3">
        <v>2.4000000000000021E-2</v>
      </c>
      <c r="AV87">
        <v>4.9000000000000016E-2</v>
      </c>
      <c r="AW87">
        <v>6.0999999999999999E-2</v>
      </c>
      <c r="AX87">
        <v>5.3999999999999992E-2</v>
      </c>
      <c r="AY87">
        <v>7.1999999999999981E-2</v>
      </c>
      <c r="AZ87">
        <v>7.1000000000000035E-2</v>
      </c>
      <c r="BA87">
        <v>5.400000000000002E-2</v>
      </c>
      <c r="BB87">
        <v>7.099999999999998E-2</v>
      </c>
      <c r="BC87">
        <v>7.6000000000000012E-2</v>
      </c>
      <c r="BD87">
        <v>6.4000000000000029E-2</v>
      </c>
    </row>
    <row r="88" spans="1:56">
      <c r="A88" t="s">
        <v>229</v>
      </c>
      <c r="B88" t="s">
        <v>230</v>
      </c>
      <c r="C88">
        <v>-1.9000000000000003E-2</v>
      </c>
      <c r="D88">
        <v>-1.6E-2</v>
      </c>
      <c r="E88">
        <v>-3.4000000000000002E-2</v>
      </c>
      <c r="F88">
        <v>2.4000000000000021E-2</v>
      </c>
      <c r="G88">
        <v>3.6000000000000004E-2</v>
      </c>
      <c r="H88">
        <v>6.0999999999999999E-2</v>
      </c>
      <c r="I88">
        <v>0.22900000000000001</v>
      </c>
      <c r="J88">
        <v>0.22800000000000001</v>
      </c>
      <c r="K88">
        <v>0.23599999999999999</v>
      </c>
      <c r="L88">
        <v>0.37599999999999995</v>
      </c>
      <c r="M88">
        <v>0.38999999999999996</v>
      </c>
      <c r="N88">
        <v>0.35299999999999998</v>
      </c>
      <c r="O88">
        <v>0.49300000000000005</v>
      </c>
      <c r="P88">
        <v>0.48500000000000004</v>
      </c>
      <c r="Q88">
        <v>0.46400000000000008</v>
      </c>
      <c r="R88">
        <v>0.54999999999999993</v>
      </c>
      <c r="S88">
        <v>0.52600000000000002</v>
      </c>
      <c r="T88">
        <v>0.54099999999999993</v>
      </c>
      <c r="U88" s="3">
        <v>-7.0000000000000062E-3</v>
      </c>
      <c r="V88" s="3">
        <v>-1.0000000000000009E-3</v>
      </c>
      <c r="W88" s="3">
        <v>-3.0000000000000027E-3</v>
      </c>
      <c r="X88" s="3">
        <v>-3.0000000000000027E-3</v>
      </c>
      <c r="Y88" s="3">
        <v>-3.0000000000000027E-3</v>
      </c>
      <c r="Z88" s="3">
        <v>2.0000000000000018E-2</v>
      </c>
      <c r="AA88" s="3">
        <v>0.12400000000000003</v>
      </c>
      <c r="AB88" s="3">
        <v>0.13899999999999998</v>
      </c>
      <c r="AC88" s="3">
        <v>0.19599999999999998</v>
      </c>
      <c r="AD88" s="3">
        <v>0.20599999999999999</v>
      </c>
      <c r="AE88" s="3">
        <v>0.17700000000000002</v>
      </c>
      <c r="AF88" s="3">
        <v>0.34600000000000009</v>
      </c>
      <c r="AG88" s="3">
        <v>0.29100000000000004</v>
      </c>
      <c r="AH88" s="3">
        <v>0.23200000000000001</v>
      </c>
      <c r="AI88" s="3">
        <v>0.38800000000000001</v>
      </c>
      <c r="AJ88" s="3">
        <v>0.34699999999999998</v>
      </c>
      <c r="AK88" s="3">
        <v>0.28599999999999998</v>
      </c>
      <c r="AL88" s="3">
        <v>0.42600000000000005</v>
      </c>
      <c r="AM88" s="3">
        <v>-4.1999999999999996E-2</v>
      </c>
      <c r="AN88" s="3">
        <v>1.0000000000000009E-3</v>
      </c>
      <c r="AO88" s="3">
        <v>-0.377</v>
      </c>
      <c r="AP88" s="3">
        <v>-3.3000000000000002E-2</v>
      </c>
      <c r="AQ88" s="3">
        <v>-1.0999999999999982E-2</v>
      </c>
      <c r="AR88" s="3">
        <v>1.2000000000000011E-2</v>
      </c>
      <c r="AS88" s="3">
        <v>0.154</v>
      </c>
      <c r="AT88" s="3">
        <v>4.5999999999999985E-2</v>
      </c>
      <c r="AU88" s="3">
        <v>7.7999999999999986E-2</v>
      </c>
      <c r="AV88">
        <v>0.24100000000000002</v>
      </c>
      <c r="AW88">
        <v>0.10299999999999998</v>
      </c>
      <c r="AX88">
        <v>0.254</v>
      </c>
      <c r="AY88">
        <v>0.30100000000000005</v>
      </c>
      <c r="AZ88">
        <v>0.14299999999999999</v>
      </c>
      <c r="BA88">
        <v>0.31000000000000005</v>
      </c>
      <c r="BB88">
        <v>0.31600000000000006</v>
      </c>
      <c r="BC88">
        <v>0.16099999999999998</v>
      </c>
      <c r="BD88">
        <v>0.35300000000000009</v>
      </c>
    </row>
    <row r="89" spans="1:56">
      <c r="A89" t="s">
        <v>231</v>
      </c>
      <c r="B89" t="s">
        <v>232</v>
      </c>
      <c r="C89">
        <v>-2.4999999999999994E-2</v>
      </c>
      <c r="D89">
        <v>-7.9999999999999932E-3</v>
      </c>
      <c r="E89">
        <v>-3.3000000000000002E-2</v>
      </c>
      <c r="F89">
        <v>6.0000000000000026E-2</v>
      </c>
      <c r="G89">
        <v>9.7000000000000031E-2</v>
      </c>
      <c r="H89">
        <v>0.11699999999999997</v>
      </c>
      <c r="I89">
        <v>9.2999999999999999E-2</v>
      </c>
      <c r="J89">
        <v>8.6999999999999994E-2</v>
      </c>
      <c r="K89">
        <v>7.9000000000000015E-2</v>
      </c>
      <c r="L89">
        <v>7.7000000000000013E-2</v>
      </c>
      <c r="M89">
        <v>8.3000000000000018E-2</v>
      </c>
      <c r="N89">
        <v>4.8000000000000015E-2</v>
      </c>
      <c r="O89">
        <v>8.0000000000000016E-2</v>
      </c>
      <c r="P89">
        <v>9.8000000000000032E-2</v>
      </c>
      <c r="Q89">
        <v>6.0000000000000026E-2</v>
      </c>
      <c r="R89">
        <v>9.5000000000000001E-2</v>
      </c>
      <c r="S89">
        <v>9.7000000000000031E-2</v>
      </c>
      <c r="T89">
        <v>7.8999999999999959E-2</v>
      </c>
      <c r="U89" s="3">
        <v>-7.0000000000000062E-3</v>
      </c>
      <c r="V89" s="3">
        <v>3.0000000000000027E-3</v>
      </c>
      <c r="W89" s="3">
        <v>-4.0000000000000036E-3</v>
      </c>
      <c r="X89" s="3">
        <v>-4.6000000000000013E-2</v>
      </c>
      <c r="Y89" s="3">
        <v>-3.7000000000000005E-2</v>
      </c>
      <c r="Z89" s="3">
        <v>-4.9999999999999989E-2</v>
      </c>
      <c r="AA89" s="3">
        <v>-6.9999999999999785E-3</v>
      </c>
      <c r="AB89" s="3">
        <v>1.5000000000000013E-2</v>
      </c>
      <c r="AC89" s="3">
        <v>-7.0000000000000062E-3</v>
      </c>
      <c r="AD89" s="3">
        <v>2.0999999999999991E-2</v>
      </c>
      <c r="AE89" s="3">
        <v>6.3000000000000028E-2</v>
      </c>
      <c r="AF89" s="3">
        <v>3.7000000000000005E-2</v>
      </c>
      <c r="AG89" s="3">
        <v>4.200000000000001E-2</v>
      </c>
      <c r="AH89" s="3">
        <v>0.12300000000000003</v>
      </c>
      <c r="AI89" s="3">
        <v>0.09</v>
      </c>
      <c r="AJ89" s="3">
        <v>0.11900000000000002</v>
      </c>
      <c r="AK89" s="3">
        <v>0.17199999999999999</v>
      </c>
      <c r="AL89" s="3">
        <v>0.10900000000000001</v>
      </c>
      <c r="AM89" s="3">
        <v>-4.5999999999999999E-2</v>
      </c>
      <c r="AN89" s="3">
        <v>-5.9999999999999915E-3</v>
      </c>
      <c r="AO89" s="3">
        <v>-0.39200000000000002</v>
      </c>
      <c r="AP89" s="3">
        <v>-6.0999999999999999E-2</v>
      </c>
      <c r="AQ89" s="3">
        <v>-4.7999999999999987E-2</v>
      </c>
      <c r="AR89" s="3">
        <v>-2.8999999999999998E-2</v>
      </c>
      <c r="AS89" s="3">
        <v>-4.0000000000000036E-3</v>
      </c>
      <c r="AT89" s="3">
        <v>-1.9000000000000017E-2</v>
      </c>
      <c r="AU89" s="3">
        <v>-5.2999999999999992E-2</v>
      </c>
      <c r="AV89">
        <v>5.1000000000000018E-2</v>
      </c>
      <c r="AW89">
        <v>1.4999999999999986E-2</v>
      </c>
      <c r="AX89">
        <v>-2.200000000000002E-2</v>
      </c>
      <c r="AY89">
        <v>9.1999999999999998E-2</v>
      </c>
      <c r="AZ89">
        <v>0.03</v>
      </c>
      <c r="BA89">
        <v>-2.6999999999999996E-2</v>
      </c>
      <c r="BB89">
        <v>0.10400000000000001</v>
      </c>
      <c r="BC89">
        <v>8.5999999999999965E-2</v>
      </c>
      <c r="BD89">
        <v>6.0000000000000053E-3</v>
      </c>
    </row>
    <row r="90" spans="1:56">
      <c r="A90" t="s">
        <v>233</v>
      </c>
      <c r="B90" t="s">
        <v>234</v>
      </c>
      <c r="C90">
        <v>-2.0000000000000018E-3</v>
      </c>
      <c r="D90">
        <v>8.0000000000000071E-3</v>
      </c>
      <c r="E90">
        <v>-9.000000000000008E-3</v>
      </c>
      <c r="F90">
        <v>1.9000000000000017E-2</v>
      </c>
      <c r="G90">
        <v>4.300000000000001E-2</v>
      </c>
      <c r="H90">
        <v>8.0999999999999989E-2</v>
      </c>
      <c r="I90">
        <v>8.199999999999999E-2</v>
      </c>
      <c r="J90">
        <v>0.12799999999999997</v>
      </c>
      <c r="K90">
        <v>0.20100000000000001</v>
      </c>
      <c r="L90">
        <v>0.17399999999999999</v>
      </c>
      <c r="M90">
        <v>0.24399999999999999</v>
      </c>
      <c r="N90">
        <v>0.28100000000000003</v>
      </c>
      <c r="O90">
        <v>0.28199999999999997</v>
      </c>
      <c r="P90">
        <v>0.44400000000000001</v>
      </c>
      <c r="Q90">
        <v>0.38400000000000001</v>
      </c>
      <c r="R90">
        <v>0.40299999999999991</v>
      </c>
      <c r="S90">
        <v>0.56600000000000006</v>
      </c>
      <c r="T90">
        <v>0.47000000000000003</v>
      </c>
      <c r="U90" s="3">
        <v>3.0000000000000027E-3</v>
      </c>
      <c r="V90" s="3">
        <v>-4.0000000000000036E-3</v>
      </c>
      <c r="W90" s="3">
        <v>0</v>
      </c>
      <c r="X90" s="3">
        <v>3.0000000000000027E-3</v>
      </c>
      <c r="Y90" s="3">
        <v>1.0999999999999982E-2</v>
      </c>
      <c r="Z90" s="3">
        <v>1.0000000000000009E-2</v>
      </c>
      <c r="AA90" s="3">
        <v>0.1</v>
      </c>
      <c r="AB90" s="3">
        <v>0.11000000000000001</v>
      </c>
      <c r="AC90" s="3">
        <v>9.4E-2</v>
      </c>
      <c r="AD90" s="3">
        <v>0.161</v>
      </c>
      <c r="AE90" s="3">
        <v>0.14699999999999999</v>
      </c>
      <c r="AF90" s="3">
        <v>0.14699999999999999</v>
      </c>
      <c r="AG90" s="3">
        <v>0.26300000000000001</v>
      </c>
      <c r="AH90" s="3">
        <v>0.20799999999999999</v>
      </c>
      <c r="AI90" s="3">
        <v>0.18899999999999997</v>
      </c>
      <c r="AJ90" s="3">
        <v>0.43800000000000006</v>
      </c>
      <c r="AK90" s="3">
        <v>0.41199999999999998</v>
      </c>
      <c r="AL90" s="3">
        <v>0.25900000000000001</v>
      </c>
      <c r="AM90" s="3">
        <v>-2.1999999999999992E-2</v>
      </c>
      <c r="AN90" s="3">
        <v>-2.0000000000000018E-3</v>
      </c>
      <c r="AO90" s="3">
        <v>-0.36599999999999999</v>
      </c>
      <c r="AP90" s="3">
        <v>-2.4999999999999994E-2</v>
      </c>
      <c r="AQ90" s="3">
        <v>-2.0000000000000018E-3</v>
      </c>
      <c r="AR90" s="3">
        <v>4.0000000000000008E-2</v>
      </c>
      <c r="AS90" s="3">
        <v>3.1E-2</v>
      </c>
      <c r="AT90" s="3">
        <v>7.400000000000001E-2</v>
      </c>
      <c r="AU90" s="3">
        <v>3.5000000000000003E-2</v>
      </c>
      <c r="AV90">
        <v>0.09</v>
      </c>
      <c r="AW90">
        <v>0.15099999999999997</v>
      </c>
      <c r="AX90">
        <v>0.10699999999999998</v>
      </c>
      <c r="AY90">
        <v>0.16600000000000001</v>
      </c>
      <c r="AZ90">
        <v>0.24200000000000002</v>
      </c>
      <c r="BA90">
        <v>0.16800000000000001</v>
      </c>
      <c r="BB90">
        <v>0.23900000000000002</v>
      </c>
      <c r="BC90">
        <v>0.34300000000000003</v>
      </c>
      <c r="BD90">
        <v>0.219</v>
      </c>
    </row>
    <row r="91" spans="1:56">
      <c r="A91" t="s">
        <v>235</v>
      </c>
      <c r="B91" t="s">
        <v>236</v>
      </c>
      <c r="C91">
        <v>-2.5999999999999995E-2</v>
      </c>
      <c r="D91">
        <v>-1.4999999999999999E-2</v>
      </c>
      <c r="E91">
        <v>-3.4000000000000002E-2</v>
      </c>
      <c r="F91">
        <v>0.252</v>
      </c>
      <c r="G91">
        <v>0.36500000000000005</v>
      </c>
      <c r="H91">
        <v>0.27400000000000002</v>
      </c>
      <c r="I91">
        <v>0.55699999999999994</v>
      </c>
      <c r="J91">
        <v>0.67099999999999993</v>
      </c>
      <c r="K91">
        <v>0.60000000000000009</v>
      </c>
      <c r="L91">
        <v>0.69399999999999995</v>
      </c>
      <c r="M91">
        <v>0.78200000000000003</v>
      </c>
      <c r="N91">
        <v>0.622</v>
      </c>
      <c r="O91">
        <v>0.77899999999999991</v>
      </c>
      <c r="P91">
        <v>0.75600000000000001</v>
      </c>
      <c r="Q91">
        <v>0.69000000000000006</v>
      </c>
      <c r="R91">
        <v>0.72799999999999998</v>
      </c>
      <c r="S91">
        <v>0.70399999999999996</v>
      </c>
      <c r="T91">
        <v>0.66900000000000004</v>
      </c>
      <c r="U91" s="3">
        <v>-9.999999999999995E-3</v>
      </c>
      <c r="V91" s="3">
        <v>-1.0000000000000009E-3</v>
      </c>
      <c r="W91" s="3">
        <v>1.0000000000000009E-3</v>
      </c>
      <c r="X91" s="3">
        <v>1.0999999999999982E-2</v>
      </c>
      <c r="Y91" s="3">
        <v>0.2</v>
      </c>
      <c r="Z91" s="3">
        <v>-1.1999999999999983E-2</v>
      </c>
      <c r="AA91" s="3">
        <v>0.12100000000000002</v>
      </c>
      <c r="AB91" s="3">
        <v>0.77</v>
      </c>
      <c r="AC91" s="3">
        <v>5.5000000000000021E-2</v>
      </c>
      <c r="AD91" s="3">
        <v>0.57400000000000007</v>
      </c>
      <c r="AE91" s="3">
        <v>0.77300000000000002</v>
      </c>
      <c r="AF91" s="3">
        <v>0.12400000000000003</v>
      </c>
      <c r="AG91" s="3">
        <v>0.77200000000000002</v>
      </c>
      <c r="AH91" s="3">
        <v>0.71800000000000008</v>
      </c>
      <c r="AI91" s="3">
        <v>0.51800000000000002</v>
      </c>
      <c r="AJ91" s="3">
        <v>0.79100000000000004</v>
      </c>
      <c r="AK91" s="3">
        <v>0.69900000000000007</v>
      </c>
      <c r="AL91" s="3">
        <v>0.74199999999999999</v>
      </c>
      <c r="AM91" s="3">
        <v>-5.8999999999999997E-2</v>
      </c>
      <c r="AN91" s="3">
        <v>5.0000000000000044E-3</v>
      </c>
      <c r="AO91" s="3">
        <v>-0.39100000000000001</v>
      </c>
      <c r="AP91" s="3">
        <v>5.5000000000000021E-2</v>
      </c>
      <c r="AQ91" s="3">
        <v>0.16899999999999998</v>
      </c>
      <c r="AR91" s="3">
        <v>1.4999999999999986E-2</v>
      </c>
      <c r="AS91" s="3">
        <v>0.64500000000000002</v>
      </c>
      <c r="AT91" s="3">
        <v>0.73100000000000009</v>
      </c>
      <c r="AU91" s="3">
        <v>5.9000000000000025E-2</v>
      </c>
      <c r="AV91">
        <v>0.76400000000000001</v>
      </c>
      <c r="AW91">
        <v>0.80399999999999983</v>
      </c>
      <c r="AX91">
        <v>0.46300000000000002</v>
      </c>
      <c r="AY91">
        <v>0.73499999999999999</v>
      </c>
      <c r="AZ91">
        <v>0.76900000000000002</v>
      </c>
      <c r="BA91">
        <v>0.77800000000000002</v>
      </c>
      <c r="BB91">
        <v>0.71500000000000008</v>
      </c>
      <c r="BC91">
        <v>0.76</v>
      </c>
      <c r="BD91">
        <v>0.76300000000000001</v>
      </c>
    </row>
    <row r="92" spans="1:56">
      <c r="A92" t="s">
        <v>237</v>
      </c>
      <c r="B92" t="s">
        <v>238</v>
      </c>
      <c r="C92">
        <v>-2.8999999999999998E-2</v>
      </c>
      <c r="D92">
        <v>-1.999999999999999E-2</v>
      </c>
      <c r="E92">
        <v>-3.6000000000000004E-2</v>
      </c>
      <c r="F92">
        <v>-9.9999999999999811E-3</v>
      </c>
      <c r="G92">
        <v>7.8000000000000014E-2</v>
      </c>
      <c r="H92">
        <v>5.6999999999999995E-2</v>
      </c>
      <c r="I92">
        <v>0.23200000000000001</v>
      </c>
      <c r="J92">
        <v>0.19999999999999998</v>
      </c>
      <c r="K92">
        <v>0.29499999999999998</v>
      </c>
      <c r="L92">
        <v>0.247</v>
      </c>
      <c r="M92">
        <v>0.26800000000000002</v>
      </c>
      <c r="N92">
        <v>0.27900000000000003</v>
      </c>
      <c r="O92">
        <v>0.27100000000000002</v>
      </c>
      <c r="P92">
        <v>0.25900000000000001</v>
      </c>
      <c r="Q92">
        <v>0.31300000000000006</v>
      </c>
      <c r="R92">
        <v>0.30100000000000005</v>
      </c>
      <c r="S92">
        <v>0.249</v>
      </c>
      <c r="T92">
        <v>0.32100000000000001</v>
      </c>
      <c r="U92" s="3">
        <v>-9.000000000000008E-3</v>
      </c>
      <c r="V92" s="3">
        <v>-5.0000000000000044E-3</v>
      </c>
      <c r="W92" s="3">
        <v>-1.0000000000000009E-2</v>
      </c>
      <c r="X92" s="3">
        <v>-7.0000000000000007E-2</v>
      </c>
      <c r="Y92" s="3">
        <v>-7.0000000000000007E-2</v>
      </c>
      <c r="Z92" s="3">
        <v>-6.2E-2</v>
      </c>
      <c r="AA92" s="3">
        <v>-7.4999999999999983E-2</v>
      </c>
      <c r="AB92" s="3">
        <v>-6.3E-2</v>
      </c>
      <c r="AC92" s="3">
        <v>-6.9000000000000006E-2</v>
      </c>
      <c r="AD92" s="3">
        <v>-7.400000000000001E-2</v>
      </c>
      <c r="AE92" s="3">
        <v>-5.6999999999999995E-2</v>
      </c>
      <c r="AF92" s="3">
        <v>-4.9999999999999989E-2</v>
      </c>
      <c r="AG92" s="3">
        <v>-7.1000000000000008E-2</v>
      </c>
      <c r="AH92" s="3">
        <v>-5.1999999999999991E-2</v>
      </c>
      <c r="AI92" s="3">
        <v>-4.9000000000000016E-2</v>
      </c>
      <c r="AJ92" s="3">
        <v>-6.9000000000000006E-2</v>
      </c>
      <c r="AK92" s="3">
        <v>-3.5000000000000003E-2</v>
      </c>
      <c r="AL92" s="3">
        <v>-4.8000000000000015E-2</v>
      </c>
      <c r="AM92" s="3">
        <v>-5.7999999999999996E-2</v>
      </c>
      <c r="AN92" s="3">
        <v>-3.9999999999999897E-3</v>
      </c>
      <c r="AO92" s="3">
        <v>-0.39500000000000002</v>
      </c>
      <c r="AP92" s="3">
        <v>-9.1999999999999998E-2</v>
      </c>
      <c r="AQ92" s="3">
        <v>-6.3E-2</v>
      </c>
      <c r="AR92" s="3">
        <v>-0.03</v>
      </c>
      <c r="AS92" s="3">
        <v>-7.8999999999999987E-2</v>
      </c>
      <c r="AT92" s="3">
        <v>-6.6000000000000003E-2</v>
      </c>
      <c r="AU92" s="3">
        <v>-7.9999999999999988E-2</v>
      </c>
      <c r="AV92">
        <v>-6.9000000000000006E-2</v>
      </c>
      <c r="AW92">
        <v>-5.3000000000000019E-2</v>
      </c>
      <c r="AX92">
        <v>-5.400000000000002E-2</v>
      </c>
      <c r="AY92">
        <v>-6.0999999999999999E-2</v>
      </c>
      <c r="AZ92">
        <v>-4.4999999999999984E-2</v>
      </c>
      <c r="BA92">
        <v>-5.7999999999999996E-2</v>
      </c>
      <c r="BB92">
        <v>-5.3999999999999992E-2</v>
      </c>
      <c r="BC92">
        <v>-4.7000000000000014E-2</v>
      </c>
      <c r="BD92">
        <v>-5.1999999999999991E-2</v>
      </c>
    </row>
    <row r="93" spans="1:56">
      <c r="A93" t="s">
        <v>239</v>
      </c>
      <c r="B93" t="s">
        <v>240</v>
      </c>
      <c r="C93">
        <v>-1.8000000000000002E-2</v>
      </c>
      <c r="D93">
        <v>-1.2999999999999998E-2</v>
      </c>
      <c r="E93">
        <v>-3.0000000000000013E-2</v>
      </c>
      <c r="F93">
        <v>-6.1999999999999986E-2</v>
      </c>
      <c r="G93">
        <v>-5.2999999999999992E-2</v>
      </c>
      <c r="H93">
        <v>-5.1000000000000004E-2</v>
      </c>
      <c r="I93">
        <v>-5.1000000000000004E-2</v>
      </c>
      <c r="J93">
        <v>-3.2000000000000001E-2</v>
      </c>
      <c r="K93">
        <v>-6.6000000000000003E-2</v>
      </c>
      <c r="L93">
        <v>-7.1000000000000008E-2</v>
      </c>
      <c r="M93">
        <v>-3.4000000000000002E-2</v>
      </c>
      <c r="N93">
        <v>-9.2999999999999999E-2</v>
      </c>
      <c r="O93">
        <v>6.5000000000000002E-2</v>
      </c>
      <c r="P93">
        <v>-2.0999999999999991E-2</v>
      </c>
      <c r="Q93">
        <v>-7.5000000000000011E-2</v>
      </c>
      <c r="R93">
        <v>-4.8000000000000001E-2</v>
      </c>
      <c r="S93">
        <v>-1.7999999999999988E-2</v>
      </c>
      <c r="T93">
        <v>-5.9000000000000025E-2</v>
      </c>
      <c r="U93" s="3">
        <v>-7.0000000000000062E-3</v>
      </c>
      <c r="V93" s="3">
        <v>-1.0000000000000009E-3</v>
      </c>
      <c r="W93" s="3">
        <v>-3.0000000000000027E-3</v>
      </c>
      <c r="X93" s="3">
        <v>-4.7000000000000014E-2</v>
      </c>
      <c r="Y93" s="3">
        <v>-4.200000000000001E-2</v>
      </c>
      <c r="Z93" s="3">
        <v>-4.6999999999999986E-2</v>
      </c>
      <c r="AA93" s="3">
        <v>-3.4000000000000002E-2</v>
      </c>
      <c r="AB93" s="3">
        <v>-1.6999999999999987E-2</v>
      </c>
      <c r="AC93" s="3">
        <v>-2.2999999999999993E-2</v>
      </c>
      <c r="AD93" s="3">
        <v>-1.3000000000000012E-2</v>
      </c>
      <c r="AE93" s="3">
        <v>2.300000000000002E-2</v>
      </c>
      <c r="AF93" s="3">
        <v>1.6000000000000014E-2</v>
      </c>
      <c r="AG93" s="3">
        <v>1.0000000000000009E-2</v>
      </c>
      <c r="AH93" s="3">
        <v>4.200000000000001E-2</v>
      </c>
      <c r="AI93" s="3">
        <v>2.6999999999999996E-2</v>
      </c>
      <c r="AJ93" s="3">
        <v>2.7999999999999997E-2</v>
      </c>
      <c r="AK93" s="3">
        <v>7.9000000000000015E-2</v>
      </c>
      <c r="AL93" s="3">
        <v>4.6000000000000013E-2</v>
      </c>
      <c r="AM93" s="3">
        <v>-5.1000000000000004E-2</v>
      </c>
      <c r="AN93" s="3">
        <v>-2.9999999999999888E-3</v>
      </c>
      <c r="AO93" s="3">
        <v>-0.38600000000000001</v>
      </c>
      <c r="AP93" s="3">
        <v>-7.8999999999999987E-2</v>
      </c>
      <c r="AQ93" s="3">
        <v>-0.06</v>
      </c>
      <c r="AR93" s="3">
        <v>-2.2999999999999993E-2</v>
      </c>
      <c r="AS93" s="3">
        <v>-4.1999999999999982E-2</v>
      </c>
      <c r="AT93" s="3">
        <v>-5.2000000000000018E-2</v>
      </c>
      <c r="AU93" s="3">
        <v>-7.1999999999999981E-2</v>
      </c>
      <c r="AV93">
        <v>-1.8999999999999989E-2</v>
      </c>
      <c r="AW93">
        <v>-3.6000000000000004E-2</v>
      </c>
      <c r="AX93">
        <v>-5.1000000000000018E-2</v>
      </c>
      <c r="AY93">
        <v>-6.0000000000000053E-3</v>
      </c>
      <c r="AZ93">
        <v>-3.6999999999999977E-2</v>
      </c>
      <c r="BA93">
        <v>-5.1999999999999991E-2</v>
      </c>
      <c r="BB93">
        <v>1.2000000000000011E-2</v>
      </c>
      <c r="BC93">
        <v>-2.4000000000000021E-2</v>
      </c>
      <c r="BD93">
        <v>-4.0999999999999981E-2</v>
      </c>
    </row>
    <row r="94" spans="1:56">
      <c r="A94" t="s">
        <v>241</v>
      </c>
      <c r="B94" t="s">
        <v>242</v>
      </c>
      <c r="C94">
        <v>-2.1000000000000005E-2</v>
      </c>
      <c r="D94">
        <v>1.0000000000000009E-3</v>
      </c>
      <c r="E94">
        <v>-2.8000000000000011E-2</v>
      </c>
      <c r="F94">
        <v>-5.9999999999999984E-2</v>
      </c>
      <c r="G94">
        <v>-4.0999999999999981E-2</v>
      </c>
      <c r="H94">
        <v>-4.5000000000000012E-2</v>
      </c>
      <c r="I94">
        <v>-2.300000000000002E-2</v>
      </c>
      <c r="J94">
        <v>0.18899999999999997</v>
      </c>
      <c r="K94">
        <v>5.2999999999999992E-2</v>
      </c>
      <c r="L94">
        <v>-1.999999999999999E-2</v>
      </c>
      <c r="M94">
        <v>0.312</v>
      </c>
      <c r="N94">
        <v>0.26300000000000001</v>
      </c>
      <c r="O94">
        <v>0.15999999999999998</v>
      </c>
      <c r="P94">
        <v>0.36600000000000005</v>
      </c>
      <c r="Q94">
        <v>0.31300000000000006</v>
      </c>
      <c r="R94">
        <v>1.6999999999999987E-2</v>
      </c>
      <c r="S94">
        <v>0.48000000000000004</v>
      </c>
      <c r="T94">
        <v>0.37599999999999995</v>
      </c>
      <c r="U94" s="3">
        <v>-2.0000000000000018E-3</v>
      </c>
      <c r="V94" s="3">
        <v>1.0000000000000009E-3</v>
      </c>
      <c r="W94" s="3">
        <v>-3.0000000000000027E-3</v>
      </c>
      <c r="X94" s="3">
        <v>-5.5000000000000021E-2</v>
      </c>
      <c r="Y94" s="3">
        <v>-6.3E-2</v>
      </c>
      <c r="Z94" s="3">
        <v>-6.9999999999999979E-2</v>
      </c>
      <c r="AA94" s="3">
        <v>3.1E-2</v>
      </c>
      <c r="AB94" s="3">
        <v>4.7000000000000014E-2</v>
      </c>
      <c r="AC94" s="3">
        <v>8.6999999999999994E-2</v>
      </c>
      <c r="AD94" s="3">
        <v>0.34400000000000008</v>
      </c>
      <c r="AE94" s="3">
        <v>0.50900000000000001</v>
      </c>
      <c r="AF94" s="3">
        <v>0.61599999999999999</v>
      </c>
      <c r="AG94" s="3">
        <v>0.77200000000000002</v>
      </c>
      <c r="AH94" s="3">
        <v>0.73499999999999999</v>
      </c>
      <c r="AI94" s="3">
        <v>0.81199999999999994</v>
      </c>
      <c r="AJ94" s="3">
        <v>0.88500000000000012</v>
      </c>
      <c r="AK94" s="3">
        <v>0.85200000000000009</v>
      </c>
      <c r="AL94" s="3">
        <v>0.88700000000000001</v>
      </c>
      <c r="AM94" s="3">
        <v>-3.5000000000000003E-2</v>
      </c>
      <c r="AN94" s="3">
        <v>2.0000000000000018E-3</v>
      </c>
      <c r="AO94" s="3">
        <v>-0.38500000000000001</v>
      </c>
      <c r="AP94" s="3">
        <v>-8.0999999999999989E-2</v>
      </c>
      <c r="AQ94" s="3">
        <v>-5.8999999999999997E-2</v>
      </c>
      <c r="AR94" s="3">
        <v>-6.2E-2</v>
      </c>
      <c r="AS94" s="3">
        <v>-6.9999999999999785E-3</v>
      </c>
      <c r="AT94" s="3">
        <v>5.2999999999999992E-2</v>
      </c>
      <c r="AU94" s="3">
        <v>-8.299999999999999E-2</v>
      </c>
      <c r="AV94">
        <v>0.38400000000000001</v>
      </c>
      <c r="AW94">
        <v>0.53299999999999992</v>
      </c>
      <c r="AX94">
        <v>-3.6000000000000004E-2</v>
      </c>
      <c r="AY94">
        <v>0.70500000000000007</v>
      </c>
      <c r="AZ94">
        <v>0.754</v>
      </c>
      <c r="BA94">
        <v>0.27700000000000002</v>
      </c>
      <c r="BB94">
        <v>0.79600000000000004</v>
      </c>
      <c r="BC94">
        <v>0.84899999999999998</v>
      </c>
      <c r="BD94">
        <v>0.51500000000000001</v>
      </c>
    </row>
    <row r="95" spans="1:56">
      <c r="A95" t="s">
        <v>243</v>
      </c>
      <c r="B95" t="s">
        <v>244</v>
      </c>
      <c r="C95">
        <v>-2.3999999999999994E-2</v>
      </c>
      <c r="D95">
        <v>1.3000000000000012E-2</v>
      </c>
      <c r="E95">
        <v>-1.9000000000000003E-2</v>
      </c>
      <c r="F95">
        <v>-2.2999999999999993E-2</v>
      </c>
      <c r="G95">
        <v>2.200000000000002E-2</v>
      </c>
      <c r="H95">
        <v>1.6999999999999987E-2</v>
      </c>
      <c r="I95">
        <v>-3.7000000000000005E-2</v>
      </c>
      <c r="J95">
        <v>7.9999999999999793E-3</v>
      </c>
      <c r="K95">
        <v>-4.1000000000000009E-2</v>
      </c>
      <c r="L95">
        <v>-6.7000000000000004E-2</v>
      </c>
      <c r="M95">
        <v>-3.2000000000000001E-2</v>
      </c>
      <c r="N95">
        <v>-8.6999999999999994E-2</v>
      </c>
      <c r="O95">
        <v>5.6999999999999995E-2</v>
      </c>
      <c r="P95">
        <v>-1.8999999999999989E-2</v>
      </c>
      <c r="Q95">
        <v>-7.1000000000000008E-2</v>
      </c>
      <c r="R95">
        <v>2.0000000000000018E-3</v>
      </c>
      <c r="S95">
        <v>-1.8999999999999989E-2</v>
      </c>
      <c r="T95">
        <v>-5.9000000000000025E-2</v>
      </c>
      <c r="U95" s="3">
        <v>0</v>
      </c>
      <c r="V95" s="3">
        <v>-2.0000000000000018E-3</v>
      </c>
      <c r="W95" s="3">
        <v>-3.0000000000000027E-3</v>
      </c>
      <c r="X95" s="3">
        <v>7.7000000000000013E-2</v>
      </c>
      <c r="Y95" s="3">
        <v>7.9000000000000015E-2</v>
      </c>
      <c r="Z95" s="3">
        <v>5.6000000000000022E-2</v>
      </c>
      <c r="AA95" s="3">
        <v>0.13000000000000003</v>
      </c>
      <c r="AB95" s="3">
        <v>0.13100000000000003</v>
      </c>
      <c r="AC95" s="3">
        <v>0.10200000000000001</v>
      </c>
      <c r="AD95" s="3">
        <v>0.19299999999999998</v>
      </c>
      <c r="AE95" s="3">
        <v>0.20799999999999999</v>
      </c>
      <c r="AF95" s="3">
        <v>0.17700000000000002</v>
      </c>
      <c r="AG95" s="3">
        <v>0.38200000000000001</v>
      </c>
      <c r="AH95" s="3">
        <v>0.47100000000000009</v>
      </c>
      <c r="AI95" s="3">
        <v>0.42600000000000005</v>
      </c>
      <c r="AJ95" s="3">
        <v>0.61399999999999999</v>
      </c>
      <c r="AK95" s="3">
        <v>0.67999999999999994</v>
      </c>
      <c r="AL95" s="3">
        <v>0.63900000000000001</v>
      </c>
      <c r="AM95" s="3">
        <v>-4.0000000000000008E-2</v>
      </c>
      <c r="AN95" s="3">
        <v>2.0000000000000018E-3</v>
      </c>
      <c r="AO95" s="3">
        <v>-0.371</v>
      </c>
      <c r="AP95" s="3">
        <v>-2.7999999999999997E-2</v>
      </c>
      <c r="AQ95" s="3">
        <v>5.8999999999999997E-2</v>
      </c>
      <c r="AR95" s="3">
        <v>-3.9000000000000007E-2</v>
      </c>
      <c r="AS95" s="3">
        <v>-1.3999999999999985E-2</v>
      </c>
      <c r="AT95" s="3">
        <v>9.099999999999997E-2</v>
      </c>
      <c r="AU95" s="3">
        <v>1.100000000000001E-2</v>
      </c>
      <c r="AV95">
        <v>-4.4000000000000011E-2</v>
      </c>
      <c r="AW95">
        <v>0.19900000000000001</v>
      </c>
      <c r="AX95">
        <v>0.03</v>
      </c>
      <c r="AY95">
        <v>-5.6999999999999995E-2</v>
      </c>
      <c r="AZ95">
        <v>0.755</v>
      </c>
      <c r="BA95">
        <v>8.6999999999999994E-2</v>
      </c>
      <c r="BB95">
        <v>9.0999999999999998E-2</v>
      </c>
      <c r="BC95">
        <v>0.70799999999999996</v>
      </c>
      <c r="BD95">
        <v>0.28600000000000003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61C7-EFCF-43E5-9774-B66ACEB596A4}">
  <dimension ref="A1:DF96"/>
  <sheetViews>
    <sheetView topLeftCell="I1" workbookViewId="0">
      <selection activeCell="DH8" sqref="DH8"/>
    </sheetView>
  </sheetViews>
  <sheetFormatPr defaultRowHeight="15" customHeight="1"/>
  <cols>
    <col min="2" max="2" width="34.42578125" customWidth="1"/>
    <col min="40" max="40" width="8.7109375" style="2"/>
    <col min="42" max="42" width="8.7109375" style="2"/>
    <col min="44" max="44" width="8.7109375" style="2"/>
    <col min="46" max="46" width="8.7109375" style="2"/>
    <col min="48" max="48" width="8.7109375" style="2"/>
    <col min="50" max="50" width="8.7109375" style="2"/>
    <col min="76" max="76" width="8.7109375" style="2"/>
    <col min="78" max="78" width="8.7109375" style="2"/>
    <col min="80" max="80" width="8.7109375" style="2"/>
    <col min="82" max="82" width="8.7109375" style="2"/>
    <col min="84" max="84" width="8.7109375" style="2"/>
    <col min="86" max="86" width="8.7109375" style="2"/>
  </cols>
  <sheetData>
    <row r="1" spans="1:110">
      <c r="A1" t="s">
        <v>0</v>
      </c>
      <c r="B1" t="s">
        <v>1</v>
      </c>
      <c r="C1" t="s">
        <v>2</v>
      </c>
      <c r="D1" s="2" t="s">
        <v>245</v>
      </c>
      <c r="E1" t="s">
        <v>3</v>
      </c>
      <c r="F1" s="2" t="s">
        <v>245</v>
      </c>
      <c r="G1" t="s">
        <v>4</v>
      </c>
      <c r="H1" s="2" t="s">
        <v>245</v>
      </c>
      <c r="I1" t="s">
        <v>5</v>
      </c>
      <c r="J1" s="2" t="s">
        <v>245</v>
      </c>
      <c r="K1" t="s">
        <v>6</v>
      </c>
      <c r="L1" s="2" t="s">
        <v>245</v>
      </c>
      <c r="M1" t="s">
        <v>7</v>
      </c>
      <c r="N1" s="2" t="s">
        <v>245</v>
      </c>
      <c r="O1" t="s">
        <v>8</v>
      </c>
      <c r="P1" s="2" t="s">
        <v>245</v>
      </c>
      <c r="Q1" t="s">
        <v>9</v>
      </c>
      <c r="R1" s="2" t="s">
        <v>245</v>
      </c>
      <c r="S1" t="s">
        <v>10</v>
      </c>
      <c r="T1" s="2" t="s">
        <v>245</v>
      </c>
      <c r="U1" t="s">
        <v>11</v>
      </c>
      <c r="V1" s="2" t="s">
        <v>245</v>
      </c>
      <c r="W1" t="s">
        <v>12</v>
      </c>
      <c r="X1" s="2" t="s">
        <v>245</v>
      </c>
      <c r="Y1" t="s">
        <v>13</v>
      </c>
      <c r="Z1" s="2" t="s">
        <v>245</v>
      </c>
      <c r="AA1" t="s">
        <v>14</v>
      </c>
      <c r="AB1" s="2" t="s">
        <v>245</v>
      </c>
      <c r="AC1" t="s">
        <v>15</v>
      </c>
      <c r="AD1" s="2" t="s">
        <v>245</v>
      </c>
      <c r="AE1" t="s">
        <v>16</v>
      </c>
      <c r="AF1" s="2" t="s">
        <v>245</v>
      </c>
      <c r="AG1" t="s">
        <v>17</v>
      </c>
      <c r="AH1" s="2" t="s">
        <v>245</v>
      </c>
      <c r="AI1" t="s">
        <v>18</v>
      </c>
      <c r="AJ1" s="2" t="s">
        <v>245</v>
      </c>
      <c r="AK1" t="s">
        <v>19</v>
      </c>
      <c r="AL1" s="2" t="s">
        <v>245</v>
      </c>
      <c r="AM1" t="s">
        <v>20</v>
      </c>
      <c r="AN1" s="2" t="s">
        <v>245</v>
      </c>
      <c r="AO1" t="s">
        <v>21</v>
      </c>
      <c r="AP1" s="2" t="s">
        <v>245</v>
      </c>
      <c r="AQ1" t="s">
        <v>22</v>
      </c>
      <c r="AR1" s="2" t="s">
        <v>245</v>
      </c>
      <c r="AS1" t="s">
        <v>23</v>
      </c>
      <c r="AT1" s="2" t="s">
        <v>245</v>
      </c>
      <c r="AU1" t="s">
        <v>24</v>
      </c>
      <c r="AV1" s="2" t="s">
        <v>245</v>
      </c>
      <c r="AW1" t="s">
        <v>25</v>
      </c>
      <c r="AX1" s="2" t="s">
        <v>245</v>
      </c>
      <c r="AY1" t="s">
        <v>26</v>
      </c>
      <c r="AZ1" s="2" t="s">
        <v>245</v>
      </c>
      <c r="BA1" t="s">
        <v>27</v>
      </c>
      <c r="BB1" s="2" t="s">
        <v>245</v>
      </c>
      <c r="BC1" t="s">
        <v>28</v>
      </c>
      <c r="BD1" s="2" t="s">
        <v>245</v>
      </c>
      <c r="BE1" t="s">
        <v>29</v>
      </c>
      <c r="BF1" s="2" t="s">
        <v>245</v>
      </c>
      <c r="BG1" t="s">
        <v>30</v>
      </c>
      <c r="BH1" s="2" t="s">
        <v>245</v>
      </c>
      <c r="BI1" t="s">
        <v>31</v>
      </c>
      <c r="BJ1" s="2" t="s">
        <v>245</v>
      </c>
      <c r="BK1" t="s">
        <v>32</v>
      </c>
      <c r="BL1" s="2" t="s">
        <v>245</v>
      </c>
      <c r="BM1" t="s">
        <v>33</v>
      </c>
      <c r="BN1" s="2" t="s">
        <v>245</v>
      </c>
      <c r="BO1" t="s">
        <v>34</v>
      </c>
      <c r="BP1" s="2" t="s">
        <v>245</v>
      </c>
      <c r="BQ1" t="s">
        <v>35</v>
      </c>
      <c r="BR1" s="2" t="s">
        <v>245</v>
      </c>
      <c r="BS1" t="s">
        <v>36</v>
      </c>
      <c r="BT1" s="2" t="s">
        <v>245</v>
      </c>
      <c r="BU1" t="s">
        <v>37</v>
      </c>
      <c r="BV1" s="2" t="s">
        <v>245</v>
      </c>
      <c r="BW1" t="s">
        <v>38</v>
      </c>
      <c r="BX1" s="2" t="s">
        <v>245</v>
      </c>
      <c r="BY1" t="s">
        <v>39</v>
      </c>
      <c r="BZ1" s="2" t="s">
        <v>245</v>
      </c>
      <c r="CA1" t="s">
        <v>40</v>
      </c>
      <c r="CB1" s="2" t="s">
        <v>245</v>
      </c>
      <c r="CC1" t="s">
        <v>41</v>
      </c>
      <c r="CD1" s="2" t="s">
        <v>245</v>
      </c>
      <c r="CE1" t="s">
        <v>42</v>
      </c>
      <c r="CF1" s="2" t="s">
        <v>245</v>
      </c>
      <c r="CG1" t="s">
        <v>43</v>
      </c>
      <c r="CH1" s="2" t="s">
        <v>245</v>
      </c>
      <c r="CI1" t="s">
        <v>44</v>
      </c>
      <c r="CJ1" s="2" t="s">
        <v>245</v>
      </c>
      <c r="CK1" t="s">
        <v>45</v>
      </c>
      <c r="CL1" s="2" t="s">
        <v>245</v>
      </c>
      <c r="CM1" t="s">
        <v>46</v>
      </c>
      <c r="CN1" s="2" t="s">
        <v>245</v>
      </c>
      <c r="CO1" t="s">
        <v>47</v>
      </c>
      <c r="CP1" s="2" t="s">
        <v>245</v>
      </c>
      <c r="CQ1" t="s">
        <v>48</v>
      </c>
      <c r="CR1" s="2" t="s">
        <v>245</v>
      </c>
      <c r="CS1" t="s">
        <v>49</v>
      </c>
      <c r="CT1" s="2" t="s">
        <v>245</v>
      </c>
      <c r="CU1" t="s">
        <v>50</v>
      </c>
      <c r="CV1" s="2" t="s">
        <v>245</v>
      </c>
      <c r="CW1" t="s">
        <v>51</v>
      </c>
      <c r="CX1" s="2" t="s">
        <v>245</v>
      </c>
      <c r="CY1" t="s">
        <v>52</v>
      </c>
      <c r="CZ1" s="2" t="s">
        <v>245</v>
      </c>
      <c r="DA1" t="s">
        <v>53</v>
      </c>
      <c r="DB1" s="2" t="s">
        <v>245</v>
      </c>
      <c r="DC1" t="s">
        <v>54</v>
      </c>
      <c r="DD1" s="2" t="s">
        <v>245</v>
      </c>
      <c r="DE1" t="s">
        <v>55</v>
      </c>
      <c r="DF1" s="2" t="s">
        <v>245</v>
      </c>
    </row>
    <row r="2" spans="1:110">
      <c r="A2" t="s">
        <v>246</v>
      </c>
      <c r="B2" t="s">
        <v>247</v>
      </c>
      <c r="C2" s="1">
        <v>0.124</v>
      </c>
      <c r="D2" s="1"/>
      <c r="E2" s="1">
        <v>0.11799999999999999</v>
      </c>
      <c r="G2" s="1">
        <v>0.13400000000000001</v>
      </c>
      <c r="I2" s="1">
        <v>0.17199999999999999</v>
      </c>
      <c r="K2" s="1">
        <v>0.17599999999999999</v>
      </c>
      <c r="M2" s="1">
        <v>0.16700000000000001</v>
      </c>
      <c r="O2" s="1">
        <v>0.16700000000000001</v>
      </c>
      <c r="Q2" s="1">
        <v>0.17100000000000001</v>
      </c>
      <c r="S2" s="1">
        <v>0.19600000000000001</v>
      </c>
      <c r="U2" s="1">
        <v>0.19</v>
      </c>
      <c r="W2" s="1">
        <v>0.184</v>
      </c>
      <c r="Y2" s="1">
        <v>0.22700000000000001</v>
      </c>
      <c r="AA2" s="1">
        <v>0.192</v>
      </c>
      <c r="AC2" s="1">
        <v>0.17499999999999999</v>
      </c>
      <c r="AE2" s="1">
        <v>0.216</v>
      </c>
      <c r="AG2">
        <v>0.16400000000000001</v>
      </c>
      <c r="AI2">
        <v>0.17599999999999999</v>
      </c>
      <c r="AK2">
        <v>0.20300000000000001</v>
      </c>
      <c r="AM2" s="1">
        <v>0.111</v>
      </c>
      <c r="AO2" s="1">
        <v>0.109</v>
      </c>
      <c r="AQ2" s="1">
        <v>0.112</v>
      </c>
      <c r="AS2" s="1">
        <v>0.19600000000000001</v>
      </c>
      <c r="AU2" s="1">
        <v>0.19800000000000001</v>
      </c>
      <c r="AW2" s="1">
        <v>0.20599999999999999</v>
      </c>
      <c r="AY2" s="1">
        <v>0.20899999999999999</v>
      </c>
      <c r="BA2" s="1">
        <v>0.20599999999999999</v>
      </c>
      <c r="BC2" s="1">
        <v>0.214</v>
      </c>
      <c r="BE2" s="1">
        <v>0.217</v>
      </c>
      <c r="BG2" s="1">
        <v>0.20499999999999999</v>
      </c>
      <c r="BI2" s="1">
        <v>0.20599999999999999</v>
      </c>
      <c r="BK2" s="1">
        <v>0.219</v>
      </c>
      <c r="BM2" s="1">
        <v>0.216</v>
      </c>
      <c r="BO2" s="1">
        <v>0.221</v>
      </c>
      <c r="BQ2">
        <v>0.219</v>
      </c>
      <c r="BS2">
        <v>0.20200000000000001</v>
      </c>
      <c r="BU2">
        <v>0.224</v>
      </c>
      <c r="BW2" s="1">
        <v>0.159</v>
      </c>
      <c r="BY2" s="1">
        <v>0.104</v>
      </c>
      <c r="CA2" s="1">
        <v>0.48899999999999999</v>
      </c>
      <c r="CC2" s="1">
        <v>0.215</v>
      </c>
      <c r="CE2" s="1">
        <v>0.182</v>
      </c>
      <c r="CG2" s="1">
        <v>0.191</v>
      </c>
      <c r="CI2" s="1">
        <v>0.21</v>
      </c>
      <c r="CK2" s="1">
        <v>0.19500000000000001</v>
      </c>
      <c r="CM2" s="1">
        <v>0.20699999999999999</v>
      </c>
      <c r="CO2" s="1">
        <v>0.217</v>
      </c>
      <c r="CQ2" s="1">
        <v>0.19900000000000001</v>
      </c>
      <c r="CS2" s="1">
        <v>0.2</v>
      </c>
      <c r="CU2" s="1">
        <v>0.22</v>
      </c>
      <c r="CW2" s="1">
        <v>0.20599999999999999</v>
      </c>
      <c r="CY2" s="1">
        <v>0.20799999999999999</v>
      </c>
      <c r="DA2">
        <v>0.216</v>
      </c>
      <c r="DC2">
        <v>0.20300000000000001</v>
      </c>
      <c r="DE2">
        <v>0.20499999999999999</v>
      </c>
    </row>
    <row r="3" spans="1:110">
      <c r="A3" t="s">
        <v>56</v>
      </c>
      <c r="B3" t="s">
        <v>57</v>
      </c>
      <c r="C3" s="1">
        <v>0.17499999999999999</v>
      </c>
      <c r="D3" s="1">
        <f>C3-0.124</f>
        <v>5.099999999999999E-2</v>
      </c>
      <c r="E3" s="1">
        <v>0.186</v>
      </c>
      <c r="F3">
        <f>E3-0.118</f>
        <v>6.8000000000000005E-2</v>
      </c>
      <c r="G3" s="1">
        <v>0.17199999999999999</v>
      </c>
      <c r="H3">
        <f>G3-0.134</f>
        <v>3.7999999999999978E-2</v>
      </c>
      <c r="I3" s="1">
        <v>0.68200000000000005</v>
      </c>
      <c r="J3">
        <f>I3-0.172</f>
        <v>0.51</v>
      </c>
      <c r="K3" s="1">
        <v>0.81799999999999995</v>
      </c>
      <c r="L3">
        <f>K3-0.176</f>
        <v>0.6419999999999999</v>
      </c>
      <c r="M3" s="1">
        <v>0.79400000000000004</v>
      </c>
      <c r="N3">
        <f>M3-0.167</f>
        <v>0.627</v>
      </c>
      <c r="O3" s="1">
        <v>1.1850000000000001</v>
      </c>
      <c r="P3">
        <f>O3-0.167</f>
        <v>1.018</v>
      </c>
      <c r="Q3" s="1">
        <v>1.1930000000000001</v>
      </c>
      <c r="R3">
        <f>Q3-0.171</f>
        <v>1.022</v>
      </c>
      <c r="S3" s="1">
        <v>1.179</v>
      </c>
      <c r="T3">
        <f>S3-0.196</f>
        <v>0.9830000000000001</v>
      </c>
      <c r="U3" s="1">
        <v>1.159</v>
      </c>
      <c r="V3">
        <f>U3-0.19</f>
        <v>0.96900000000000008</v>
      </c>
      <c r="W3" s="1">
        <v>1.21</v>
      </c>
      <c r="X3">
        <f>W3-0.184</f>
        <v>1.026</v>
      </c>
      <c r="Y3" s="1">
        <v>1.1950000000000001</v>
      </c>
      <c r="Z3">
        <f>Y3-0.227</f>
        <v>0.96800000000000008</v>
      </c>
      <c r="AA3" s="1">
        <v>1.248</v>
      </c>
      <c r="AB3">
        <f>AA3-0.192</f>
        <v>1.056</v>
      </c>
      <c r="AC3" s="1">
        <v>1.177</v>
      </c>
      <c r="AD3">
        <f>AC3-0.175</f>
        <v>1.002</v>
      </c>
      <c r="AE3" s="1">
        <v>1.1120000000000001</v>
      </c>
      <c r="AF3">
        <f>AE3-0.216</f>
        <v>0.89600000000000013</v>
      </c>
      <c r="AG3">
        <v>1.254</v>
      </c>
      <c r="AH3">
        <f>AG3-0.164</f>
        <v>1.0900000000000001</v>
      </c>
      <c r="AI3">
        <v>1.165</v>
      </c>
      <c r="AJ3">
        <f>AI3-0.176</f>
        <v>0.9890000000000001</v>
      </c>
      <c r="AK3">
        <v>0.98099999999999998</v>
      </c>
      <c r="AL3">
        <f>AK3-0.203</f>
        <v>0.77800000000000002</v>
      </c>
      <c r="AM3" s="1">
        <v>0.14399999999999999</v>
      </c>
      <c r="AN3" s="2">
        <f>AM3-0.111</f>
        <v>3.2999999999999988E-2</v>
      </c>
      <c r="AO3" s="1">
        <v>0.13600000000000001</v>
      </c>
      <c r="AP3" s="2">
        <f>AO3-0.109</f>
        <v>2.700000000000001E-2</v>
      </c>
      <c r="AQ3" s="1">
        <v>0.18099999999999999</v>
      </c>
      <c r="AR3" s="2">
        <f>AQ3-0.112</f>
        <v>6.8999999999999992E-2</v>
      </c>
      <c r="AS3" s="1">
        <v>0.72399999999999998</v>
      </c>
      <c r="AT3" s="2">
        <f>AS3-0.196</f>
        <v>0.52800000000000002</v>
      </c>
      <c r="AU3" s="1">
        <v>0.752</v>
      </c>
      <c r="AV3" s="2">
        <f>AU3-0.198</f>
        <v>0.55400000000000005</v>
      </c>
      <c r="AW3" s="1">
        <v>0.746</v>
      </c>
      <c r="AX3" s="2">
        <f>AW3-0.206</f>
        <v>0.54</v>
      </c>
      <c r="AY3" s="1">
        <v>1.1459999999999999</v>
      </c>
      <c r="AZ3">
        <f>AY3-0.209</f>
        <v>0.93699999999999994</v>
      </c>
      <c r="BA3" s="1">
        <v>1.1559999999999999</v>
      </c>
      <c r="BB3">
        <f>BA3-0.206</f>
        <v>0.95</v>
      </c>
      <c r="BC3" s="1">
        <v>1.169</v>
      </c>
      <c r="BD3">
        <f>BC3-0.214</f>
        <v>0.95500000000000007</v>
      </c>
      <c r="BE3" s="1">
        <v>1.0920000000000001</v>
      </c>
      <c r="BF3">
        <f>BE3-0.217</f>
        <v>0.87500000000000011</v>
      </c>
      <c r="BG3" s="1">
        <v>1.079</v>
      </c>
      <c r="BH3">
        <f>BG3-0.205</f>
        <v>0.874</v>
      </c>
      <c r="BI3" s="1">
        <v>1.0860000000000001</v>
      </c>
      <c r="BJ3">
        <f>BI3-0.206</f>
        <v>0.88000000000000012</v>
      </c>
      <c r="BK3" s="1">
        <v>1.107</v>
      </c>
      <c r="BL3">
        <f>BK3-0.219</f>
        <v>0.88800000000000001</v>
      </c>
      <c r="BM3" s="1">
        <v>1.0760000000000001</v>
      </c>
      <c r="BN3">
        <f>BM3-0.216</f>
        <v>0.8600000000000001</v>
      </c>
      <c r="BO3" s="1">
        <v>1.0980000000000001</v>
      </c>
      <c r="BP3">
        <f>BO3-0.221</f>
        <v>0.87700000000000011</v>
      </c>
      <c r="BQ3">
        <v>1.1080000000000001</v>
      </c>
      <c r="BR3">
        <f>BQ3-0.219</f>
        <v>0.88900000000000012</v>
      </c>
      <c r="BS3">
        <v>1.0740000000000001</v>
      </c>
      <c r="BT3">
        <f>BS3-0.202</f>
        <v>0.87200000000000011</v>
      </c>
      <c r="BU3">
        <v>1.1000000000000001</v>
      </c>
      <c r="BV3">
        <f>BU3-0.224</f>
        <v>0.87600000000000011</v>
      </c>
      <c r="BW3" s="1">
        <v>0.16200000000000001</v>
      </c>
      <c r="BX3" s="2">
        <f>BW3-0.159</f>
        <v>3.0000000000000027E-3</v>
      </c>
      <c r="BY3" s="1">
        <v>0.121</v>
      </c>
      <c r="BZ3" s="2">
        <f>BY3-0.104</f>
        <v>1.7000000000000001E-2</v>
      </c>
      <c r="CA3" s="1">
        <v>0.188</v>
      </c>
      <c r="CB3" s="2">
        <f>CA3-0.489</f>
        <v>-0.30099999999999999</v>
      </c>
      <c r="CC3" s="1">
        <v>0.78800000000000003</v>
      </c>
      <c r="CD3" s="2">
        <f>CC3-0.215</f>
        <v>0.57300000000000006</v>
      </c>
      <c r="CE3" s="1">
        <v>0.72699999999999998</v>
      </c>
      <c r="CF3" s="2">
        <f>CE3-0.182</f>
        <v>0.54499999999999993</v>
      </c>
      <c r="CG3" s="1">
        <v>0.65500000000000003</v>
      </c>
      <c r="CH3" s="2">
        <f>CG3-0.191</f>
        <v>0.46400000000000002</v>
      </c>
      <c r="CI3" s="1">
        <v>1.147</v>
      </c>
      <c r="CJ3">
        <f>CI3-0.21</f>
        <v>0.93700000000000006</v>
      </c>
      <c r="CK3" s="1">
        <v>1.155</v>
      </c>
      <c r="CL3">
        <f>CK3-0.195</f>
        <v>0.96</v>
      </c>
      <c r="CM3" s="1">
        <v>1.1459999999999999</v>
      </c>
      <c r="CN3">
        <f>CM3-0.207</f>
        <v>0.93899999999999995</v>
      </c>
      <c r="CO3" s="1">
        <v>1.1180000000000001</v>
      </c>
      <c r="CP3">
        <f>CO3-0.217</f>
        <v>0.90100000000000013</v>
      </c>
      <c r="CQ3" s="1">
        <v>1.079</v>
      </c>
      <c r="CR3">
        <f>CQ3-0.199</f>
        <v>0.87999999999999989</v>
      </c>
      <c r="CS3" s="1">
        <v>1.0980000000000001</v>
      </c>
      <c r="CT3">
        <f>CS3-0.2</f>
        <v>0.89800000000000013</v>
      </c>
      <c r="CU3" s="1">
        <v>1.0900000000000001</v>
      </c>
      <c r="CV3">
        <f>CU3-0.22</f>
        <v>0.87000000000000011</v>
      </c>
      <c r="CW3" s="1">
        <v>1.056</v>
      </c>
      <c r="CX3">
        <f>CW3-0.206</f>
        <v>0.85000000000000009</v>
      </c>
      <c r="CY3" s="1">
        <v>1.0740000000000001</v>
      </c>
      <c r="CZ3">
        <f>CY3-0.208</f>
        <v>0.8660000000000001</v>
      </c>
      <c r="DA3">
        <v>1.089</v>
      </c>
      <c r="DB3">
        <f>DA3-0.216</f>
        <v>0.873</v>
      </c>
      <c r="DC3">
        <v>1.0489999999999999</v>
      </c>
      <c r="DD3">
        <f>DC3-0.203</f>
        <v>0.84599999999999986</v>
      </c>
      <c r="DE3">
        <v>1.087</v>
      </c>
      <c r="DF3">
        <f>DE3-0.205</f>
        <v>0.88200000000000001</v>
      </c>
    </row>
    <row r="4" spans="1:110">
      <c r="A4" t="s">
        <v>58</v>
      </c>
      <c r="B4" t="s">
        <v>59</v>
      </c>
      <c r="C4" s="1">
        <v>0.122</v>
      </c>
      <c r="D4" s="1">
        <f t="shared" ref="D4:D67" si="0">C4-0.124</f>
        <v>-2.0000000000000018E-3</v>
      </c>
      <c r="E4" s="1">
        <v>0.13200000000000001</v>
      </c>
      <c r="F4">
        <f t="shared" ref="F4:F67" si="1">E4-0.118</f>
        <v>1.4000000000000012E-2</v>
      </c>
      <c r="G4" s="1">
        <v>0.10199999999999999</v>
      </c>
      <c r="H4">
        <f t="shared" ref="H4:H67" si="2">G4-0.134</f>
        <v>-3.2000000000000015E-2</v>
      </c>
      <c r="I4" s="1">
        <v>0.69</v>
      </c>
      <c r="J4">
        <f t="shared" ref="J4:J67" si="3">I4-0.172</f>
        <v>0.51800000000000002</v>
      </c>
      <c r="K4" s="1">
        <v>0.747</v>
      </c>
      <c r="L4">
        <f t="shared" ref="L4:L67" si="4">K4-0.176</f>
        <v>0.57099999999999995</v>
      </c>
      <c r="M4" s="1">
        <v>0.72499999999999998</v>
      </c>
      <c r="N4">
        <f t="shared" ref="N4:N67" si="5">M4-0.167</f>
        <v>0.55799999999999994</v>
      </c>
      <c r="O4" s="1">
        <v>1.006</v>
      </c>
      <c r="P4">
        <f t="shared" ref="P4:P67" si="6">O4-0.167</f>
        <v>0.83899999999999997</v>
      </c>
      <c r="Q4" s="1">
        <v>1.0549999999999999</v>
      </c>
      <c r="R4">
        <f t="shared" ref="R4:R67" si="7">Q4-0.171</f>
        <v>0.8839999999999999</v>
      </c>
      <c r="S4" s="1">
        <v>1.1140000000000001</v>
      </c>
      <c r="T4">
        <f t="shared" ref="T4:T67" si="8">S4-0.196</f>
        <v>0.91800000000000015</v>
      </c>
      <c r="U4" s="1">
        <v>1.119</v>
      </c>
      <c r="V4">
        <f t="shared" ref="V4:V67" si="9">U4-0.19</f>
        <v>0.92900000000000005</v>
      </c>
      <c r="W4" s="1">
        <v>1.1459999999999999</v>
      </c>
      <c r="X4">
        <f t="shared" ref="X4:X67" si="10">W4-0.184</f>
        <v>0.96199999999999997</v>
      </c>
      <c r="Y4" s="1">
        <v>1.2170000000000001</v>
      </c>
      <c r="Z4">
        <f t="shared" ref="Z4:Z67" si="11">Y4-0.227</f>
        <v>0.9900000000000001</v>
      </c>
      <c r="AA4" s="1">
        <v>1.026</v>
      </c>
      <c r="AB4">
        <f t="shared" ref="AB4:AB67" si="12">AA4-0.192</f>
        <v>0.83400000000000007</v>
      </c>
      <c r="AC4" s="1">
        <v>0.92100000000000004</v>
      </c>
      <c r="AD4">
        <f t="shared" ref="AD4:AD67" si="13">AC4-0.175</f>
        <v>0.746</v>
      </c>
      <c r="AE4" s="1">
        <v>1.22</v>
      </c>
      <c r="AF4">
        <f t="shared" ref="AF4:AF67" si="14">AE4-0.216</f>
        <v>1.004</v>
      </c>
      <c r="AG4">
        <v>0.97699999999999998</v>
      </c>
      <c r="AH4">
        <f t="shared" ref="AH4:AH67" si="15">AG4-0.164</f>
        <v>0.81299999999999994</v>
      </c>
      <c r="AI4">
        <v>0.79800000000000004</v>
      </c>
      <c r="AJ4">
        <f t="shared" ref="AJ4:AJ67" si="16">AI4-0.176</f>
        <v>0.62200000000000011</v>
      </c>
      <c r="AK4">
        <v>0.79700000000000004</v>
      </c>
      <c r="AL4">
        <f t="shared" ref="AL4:AL67" si="17">AK4-0.203</f>
        <v>0.59400000000000008</v>
      </c>
      <c r="AM4" s="1">
        <v>0.11700000000000001</v>
      </c>
      <c r="AN4" s="2">
        <f t="shared" ref="AN4:AN67" si="18">AM4-0.111</f>
        <v>6.0000000000000053E-3</v>
      </c>
      <c r="AO4" s="1">
        <v>0.128</v>
      </c>
      <c r="AP4" s="2">
        <f t="shared" ref="AP4:AP67" si="19">AO4-0.109</f>
        <v>1.9000000000000003E-2</v>
      </c>
      <c r="AQ4" s="1">
        <v>0.158</v>
      </c>
      <c r="AR4" s="2">
        <f t="shared" ref="AR4:AR67" si="20">AQ4-0.112</f>
        <v>4.5999999999999999E-2</v>
      </c>
      <c r="AS4" s="1">
        <v>0.73699999999999999</v>
      </c>
      <c r="AT4" s="2">
        <f t="shared" ref="AT4:AT67" si="21">AS4-0.196</f>
        <v>0.54099999999999993</v>
      </c>
      <c r="AU4" s="1">
        <v>0.76600000000000001</v>
      </c>
      <c r="AV4" s="2">
        <f t="shared" ref="AV4:AV67" si="22">AU4-0.198</f>
        <v>0.56800000000000006</v>
      </c>
      <c r="AW4" s="1">
        <v>0.754</v>
      </c>
      <c r="AX4" s="2">
        <f t="shared" ref="AX4:AX67" si="23">AW4-0.206</f>
        <v>0.54800000000000004</v>
      </c>
      <c r="AY4" s="1">
        <v>1.0109999999999999</v>
      </c>
      <c r="AZ4">
        <f t="shared" ref="AZ4:AZ67" si="24">AY4-0.209</f>
        <v>0.80199999999999994</v>
      </c>
      <c r="BA4" s="1">
        <v>1.0529999999999999</v>
      </c>
      <c r="BB4">
        <f t="shared" ref="BB4:BB67" si="25">BA4-0.206</f>
        <v>0.84699999999999998</v>
      </c>
      <c r="BC4" s="1">
        <v>0.95499999999999996</v>
      </c>
      <c r="BD4">
        <f t="shared" ref="BD4:BD67" si="26">BC4-0.214</f>
        <v>0.74099999999999999</v>
      </c>
      <c r="BE4" s="1">
        <v>1.0820000000000001</v>
      </c>
      <c r="BF4">
        <f t="shared" ref="BF4:BF67" si="27">BE4-0.217</f>
        <v>0.8650000000000001</v>
      </c>
      <c r="BG4" s="1">
        <v>1.0509999999999999</v>
      </c>
      <c r="BH4">
        <f t="shared" ref="BH4:BH67" si="28">BG4-0.205</f>
        <v>0.84599999999999997</v>
      </c>
      <c r="BI4" s="1">
        <v>1.0780000000000001</v>
      </c>
      <c r="BJ4">
        <f t="shared" ref="BJ4:BJ67" si="29">BI4-0.206</f>
        <v>0.87200000000000011</v>
      </c>
      <c r="BK4" s="1">
        <v>1.1519999999999999</v>
      </c>
      <c r="BL4">
        <f t="shared" ref="BL4:BL67" si="30">BK4-0.219</f>
        <v>0.93299999999999994</v>
      </c>
      <c r="BM4" s="1">
        <v>1.1499999999999999</v>
      </c>
      <c r="BN4">
        <f t="shared" ref="BN4:BN67" si="31">BM4-0.216</f>
        <v>0.93399999999999994</v>
      </c>
      <c r="BO4" s="1">
        <v>1.1279999999999999</v>
      </c>
      <c r="BP4">
        <f t="shared" ref="BP4:BP67" si="32">BO4-0.221</f>
        <v>0.90699999999999992</v>
      </c>
      <c r="BQ4">
        <v>1.125</v>
      </c>
      <c r="BR4">
        <f t="shared" ref="BR4:BR67" si="33">BQ4-0.219</f>
        <v>0.90600000000000003</v>
      </c>
      <c r="BS4">
        <v>1.1419999999999999</v>
      </c>
      <c r="BT4">
        <f t="shared" ref="BT4:BT67" si="34">BS4-0.202</f>
        <v>0.94</v>
      </c>
      <c r="BU4">
        <v>1.101</v>
      </c>
      <c r="BV4">
        <f t="shared" ref="BV4:BV67" si="35">BU4-0.224</f>
        <v>0.877</v>
      </c>
      <c r="BW4" s="1">
        <v>0.107</v>
      </c>
      <c r="BX4" s="2">
        <f t="shared" ref="BX4:BX67" si="36">BW4-0.159</f>
        <v>-5.2000000000000005E-2</v>
      </c>
      <c r="BY4" s="1">
        <v>0.11</v>
      </c>
      <c r="BZ4" s="2">
        <f t="shared" ref="BZ4:BZ67" si="37">BY4-0.104</f>
        <v>6.0000000000000053E-3</v>
      </c>
      <c r="CA4" s="1">
        <v>0.125</v>
      </c>
      <c r="CB4" s="2">
        <f t="shared" ref="CB4:CB67" si="38">CA4-0.489</f>
        <v>-0.36399999999999999</v>
      </c>
      <c r="CC4" s="1">
        <v>0.77200000000000002</v>
      </c>
      <c r="CD4" s="2">
        <f t="shared" ref="CD4:CD67" si="39">CC4-0.215</f>
        <v>0.55700000000000005</v>
      </c>
      <c r="CE4" s="1">
        <v>0.72799999999999998</v>
      </c>
      <c r="CF4" s="2">
        <f t="shared" ref="CF4:CF67" si="40">CE4-0.182</f>
        <v>0.54600000000000004</v>
      </c>
      <c r="CG4" s="1">
        <v>0.68300000000000005</v>
      </c>
      <c r="CH4" s="2">
        <f t="shared" ref="CH4:CH67" si="41">CG4-0.191</f>
        <v>0.49200000000000005</v>
      </c>
      <c r="CI4" s="1">
        <v>1.0209999999999999</v>
      </c>
      <c r="CJ4">
        <f t="shared" ref="CJ4:CJ67" si="42">CI4-0.21</f>
        <v>0.81099999999999994</v>
      </c>
      <c r="CK4" s="1">
        <v>1.0129999999999999</v>
      </c>
      <c r="CL4">
        <f t="shared" ref="CL4:CL67" si="43">CK4-0.195</f>
        <v>0.81799999999999984</v>
      </c>
      <c r="CM4" s="1">
        <v>0.95199999999999996</v>
      </c>
      <c r="CN4">
        <f t="shared" ref="CN4:CN67" si="44">CM4-0.207</f>
        <v>0.745</v>
      </c>
      <c r="CO4" s="1">
        <v>1.028</v>
      </c>
      <c r="CP4">
        <f t="shared" ref="CP4:CP67" si="45">CO4-0.217</f>
        <v>0.81100000000000005</v>
      </c>
      <c r="CQ4" s="1">
        <v>1.0920000000000001</v>
      </c>
      <c r="CR4">
        <f t="shared" ref="CR4:CR67" si="46">CQ4-0.199</f>
        <v>0.89300000000000002</v>
      </c>
      <c r="CS4" s="1">
        <v>1.0229999999999999</v>
      </c>
      <c r="CT4">
        <f t="shared" ref="CT4:CT67" si="47">CS4-0.2</f>
        <v>0.82299999999999995</v>
      </c>
      <c r="CU4" s="1">
        <v>0.98199999999999998</v>
      </c>
      <c r="CV4">
        <f t="shared" ref="CV4:CV67" si="48">CU4-0.22</f>
        <v>0.76200000000000001</v>
      </c>
      <c r="CW4" s="1">
        <v>1.1160000000000001</v>
      </c>
      <c r="CX4">
        <f t="shared" ref="CX4:CX67" si="49">CW4-0.206</f>
        <v>0.91000000000000014</v>
      </c>
      <c r="CY4" s="1">
        <v>1.075</v>
      </c>
      <c r="CZ4">
        <f t="shared" ref="CZ4:CZ67" si="50">CY4-0.208</f>
        <v>0.86699999999999999</v>
      </c>
      <c r="DA4">
        <v>1.018</v>
      </c>
      <c r="DB4">
        <f t="shared" ref="DB4:DB67" si="51">DA4-0.216</f>
        <v>0.80200000000000005</v>
      </c>
      <c r="DC4">
        <v>1.081</v>
      </c>
      <c r="DD4">
        <f t="shared" ref="DD4:DD67" si="52">DC4-0.203</f>
        <v>0.87799999999999989</v>
      </c>
      <c r="DE4">
        <v>1.1399999999999999</v>
      </c>
      <c r="DF4">
        <f t="shared" ref="DF4:DF67" si="53">DE4-0.205</f>
        <v>0.93499999999999994</v>
      </c>
    </row>
    <row r="5" spans="1:110">
      <c r="A5" t="s">
        <v>60</v>
      </c>
      <c r="B5" t="s">
        <v>61</v>
      </c>
      <c r="C5" s="1">
        <v>0.13</v>
      </c>
      <c r="D5" s="1">
        <f t="shared" si="0"/>
        <v>6.0000000000000053E-3</v>
      </c>
      <c r="E5" s="1">
        <v>0.13200000000000001</v>
      </c>
      <c r="F5">
        <f t="shared" si="1"/>
        <v>1.4000000000000012E-2</v>
      </c>
      <c r="G5" s="1">
        <v>0.106</v>
      </c>
      <c r="H5">
        <f t="shared" si="2"/>
        <v>-2.8000000000000011E-2</v>
      </c>
      <c r="I5" s="1">
        <v>0.73299999999999998</v>
      </c>
      <c r="J5">
        <f t="shared" si="3"/>
        <v>0.56099999999999994</v>
      </c>
      <c r="K5" s="1">
        <v>0.80500000000000005</v>
      </c>
      <c r="L5">
        <f t="shared" si="4"/>
        <v>0.629</v>
      </c>
      <c r="M5" s="1">
        <v>0.86799999999999999</v>
      </c>
      <c r="N5">
        <f t="shared" si="5"/>
        <v>0.70099999999999996</v>
      </c>
      <c r="O5" s="1">
        <v>0.93300000000000005</v>
      </c>
      <c r="P5">
        <f t="shared" si="6"/>
        <v>0.76600000000000001</v>
      </c>
      <c r="Q5" s="1">
        <v>0.95699999999999996</v>
      </c>
      <c r="R5">
        <f t="shared" si="7"/>
        <v>0.78599999999999992</v>
      </c>
      <c r="S5" s="1">
        <v>1.056</v>
      </c>
      <c r="T5">
        <f t="shared" si="8"/>
        <v>0.8600000000000001</v>
      </c>
      <c r="U5" s="1">
        <v>0.97899999999999998</v>
      </c>
      <c r="V5">
        <f t="shared" si="9"/>
        <v>0.78899999999999992</v>
      </c>
      <c r="W5" s="1">
        <v>0.97199999999999998</v>
      </c>
      <c r="X5">
        <f t="shared" si="10"/>
        <v>0.78800000000000003</v>
      </c>
      <c r="Y5" s="1">
        <v>1.028</v>
      </c>
      <c r="Z5">
        <f t="shared" si="11"/>
        <v>0.80100000000000005</v>
      </c>
      <c r="AA5" s="1">
        <v>0.96199999999999997</v>
      </c>
      <c r="AB5">
        <f t="shared" si="12"/>
        <v>0.77</v>
      </c>
      <c r="AC5" s="1">
        <v>0.97799999999999998</v>
      </c>
      <c r="AD5">
        <f t="shared" si="13"/>
        <v>0.80299999999999994</v>
      </c>
      <c r="AE5" s="1">
        <v>0.85899999999999999</v>
      </c>
      <c r="AF5">
        <f t="shared" si="14"/>
        <v>0.64300000000000002</v>
      </c>
      <c r="AG5">
        <v>0.89800000000000002</v>
      </c>
      <c r="AH5">
        <f t="shared" si="15"/>
        <v>0.73399999999999999</v>
      </c>
      <c r="AI5">
        <v>0.95199999999999996</v>
      </c>
      <c r="AJ5">
        <f t="shared" si="16"/>
        <v>0.77600000000000002</v>
      </c>
      <c r="AK5">
        <v>0.877</v>
      </c>
      <c r="AL5">
        <f t="shared" si="17"/>
        <v>0.67399999999999993</v>
      </c>
      <c r="AM5" s="1">
        <v>0.12</v>
      </c>
      <c r="AN5" s="2">
        <f t="shared" si="18"/>
        <v>8.9999999999999941E-3</v>
      </c>
      <c r="AO5" s="1">
        <v>0.12</v>
      </c>
      <c r="AP5" s="2">
        <f t="shared" si="19"/>
        <v>1.0999999999999996E-2</v>
      </c>
      <c r="AQ5" s="1">
        <v>0.14799999999999999</v>
      </c>
      <c r="AR5" s="2">
        <f t="shared" si="20"/>
        <v>3.599999999999999E-2</v>
      </c>
      <c r="AS5" s="1">
        <v>0.76400000000000001</v>
      </c>
      <c r="AT5" s="2">
        <f t="shared" si="21"/>
        <v>0.56800000000000006</v>
      </c>
      <c r="AU5" s="1">
        <v>0.77200000000000002</v>
      </c>
      <c r="AV5" s="2">
        <f t="shared" si="22"/>
        <v>0.57400000000000007</v>
      </c>
      <c r="AW5" s="1">
        <v>0.71799999999999997</v>
      </c>
      <c r="AX5" s="2">
        <f t="shared" si="23"/>
        <v>0.51200000000000001</v>
      </c>
      <c r="AY5" s="1">
        <v>0.94799999999999995</v>
      </c>
      <c r="AZ5">
        <f t="shared" si="24"/>
        <v>0.73899999999999999</v>
      </c>
      <c r="BA5" s="1">
        <v>0.94899999999999995</v>
      </c>
      <c r="BB5">
        <f t="shared" si="25"/>
        <v>0.74299999999999999</v>
      </c>
      <c r="BC5" s="1">
        <v>0.86099999999999999</v>
      </c>
      <c r="BD5">
        <f t="shared" si="26"/>
        <v>0.64700000000000002</v>
      </c>
      <c r="BE5" s="1">
        <v>0.98299999999999998</v>
      </c>
      <c r="BF5">
        <f t="shared" si="27"/>
        <v>0.76600000000000001</v>
      </c>
      <c r="BG5" s="1">
        <v>1.03</v>
      </c>
      <c r="BH5">
        <f t="shared" si="28"/>
        <v>0.82500000000000007</v>
      </c>
      <c r="BI5" s="1">
        <v>0.93899999999999995</v>
      </c>
      <c r="BJ5">
        <f t="shared" si="29"/>
        <v>0.73299999999999998</v>
      </c>
      <c r="BK5" s="1">
        <v>1.0069999999999999</v>
      </c>
      <c r="BL5">
        <f t="shared" si="30"/>
        <v>0.78799999999999992</v>
      </c>
      <c r="BM5" s="1">
        <v>1.163</v>
      </c>
      <c r="BN5">
        <f t="shared" si="31"/>
        <v>0.94700000000000006</v>
      </c>
      <c r="BO5" s="1">
        <v>1.004</v>
      </c>
      <c r="BP5">
        <f t="shared" si="32"/>
        <v>0.78300000000000003</v>
      </c>
      <c r="BQ5">
        <v>1.071</v>
      </c>
      <c r="BR5">
        <f t="shared" si="33"/>
        <v>0.85199999999999998</v>
      </c>
      <c r="BS5">
        <v>1.097</v>
      </c>
      <c r="BT5">
        <f t="shared" si="34"/>
        <v>0.89500000000000002</v>
      </c>
      <c r="BU5">
        <v>1.0189999999999999</v>
      </c>
      <c r="BV5">
        <f t="shared" si="35"/>
        <v>0.79499999999999993</v>
      </c>
      <c r="BW5" s="1">
        <v>0.106</v>
      </c>
      <c r="BX5" s="2">
        <f t="shared" si="36"/>
        <v>-5.3000000000000005E-2</v>
      </c>
      <c r="BY5" s="1">
        <v>0.11799999999999999</v>
      </c>
      <c r="BZ5" s="2">
        <f t="shared" si="37"/>
        <v>1.3999999999999999E-2</v>
      </c>
      <c r="CA5" s="1">
        <v>0.11799999999999999</v>
      </c>
      <c r="CB5" s="2">
        <f t="shared" si="38"/>
        <v>-0.371</v>
      </c>
      <c r="CC5" s="1">
        <v>0.80700000000000005</v>
      </c>
      <c r="CD5" s="2">
        <f t="shared" si="39"/>
        <v>0.59200000000000008</v>
      </c>
      <c r="CE5" s="1">
        <v>0.74299999999999999</v>
      </c>
      <c r="CF5" s="2">
        <f t="shared" si="40"/>
        <v>0.56099999999999994</v>
      </c>
      <c r="CG5" s="1">
        <v>0.72799999999999998</v>
      </c>
      <c r="CH5" s="2">
        <f t="shared" si="41"/>
        <v>0.53699999999999992</v>
      </c>
      <c r="CI5" s="1">
        <v>0.95</v>
      </c>
      <c r="CJ5">
        <f t="shared" si="42"/>
        <v>0.74</v>
      </c>
      <c r="CK5" s="1">
        <v>0.91800000000000004</v>
      </c>
      <c r="CL5">
        <f t="shared" si="43"/>
        <v>0.72300000000000009</v>
      </c>
      <c r="CM5" s="1">
        <v>0.92500000000000004</v>
      </c>
      <c r="CN5">
        <f t="shared" si="44"/>
        <v>0.71800000000000008</v>
      </c>
      <c r="CO5" s="1">
        <v>0.996</v>
      </c>
      <c r="CP5">
        <f t="shared" si="45"/>
        <v>0.77900000000000003</v>
      </c>
      <c r="CQ5" s="1">
        <v>0.94199999999999995</v>
      </c>
      <c r="CR5">
        <f t="shared" si="46"/>
        <v>0.74299999999999988</v>
      </c>
      <c r="CS5" s="1">
        <v>1.016</v>
      </c>
      <c r="CT5">
        <f t="shared" si="47"/>
        <v>0.81600000000000006</v>
      </c>
      <c r="CU5" s="1">
        <v>1.044</v>
      </c>
      <c r="CV5">
        <f t="shared" si="48"/>
        <v>0.82400000000000007</v>
      </c>
      <c r="CW5" s="1">
        <v>1.028</v>
      </c>
      <c r="CX5">
        <f t="shared" si="49"/>
        <v>0.82200000000000006</v>
      </c>
      <c r="CY5" s="1">
        <v>1.1299999999999999</v>
      </c>
      <c r="CZ5">
        <f t="shared" si="50"/>
        <v>0.92199999999999993</v>
      </c>
      <c r="DA5">
        <v>1.095</v>
      </c>
      <c r="DB5">
        <f t="shared" si="51"/>
        <v>0.879</v>
      </c>
      <c r="DC5">
        <v>1.0149999999999999</v>
      </c>
      <c r="DD5">
        <f t="shared" si="52"/>
        <v>0.81199999999999983</v>
      </c>
      <c r="DE5">
        <v>1.071</v>
      </c>
      <c r="DF5">
        <f t="shared" si="53"/>
        <v>0.86599999999999999</v>
      </c>
    </row>
    <row r="6" spans="1:110">
      <c r="A6" t="s">
        <v>62</v>
      </c>
      <c r="B6" t="s">
        <v>63</v>
      </c>
      <c r="C6" s="1">
        <v>0.109</v>
      </c>
      <c r="D6" s="1">
        <f t="shared" si="0"/>
        <v>-1.4999999999999999E-2</v>
      </c>
      <c r="E6" s="1">
        <v>0.109</v>
      </c>
      <c r="F6">
        <f t="shared" si="1"/>
        <v>-8.9999999999999941E-3</v>
      </c>
      <c r="G6" s="1">
        <v>0.106</v>
      </c>
      <c r="H6">
        <f t="shared" si="2"/>
        <v>-2.8000000000000011E-2</v>
      </c>
      <c r="I6" s="1">
        <v>0.188</v>
      </c>
      <c r="J6">
        <f t="shared" si="3"/>
        <v>1.6000000000000014E-2</v>
      </c>
      <c r="K6" s="1">
        <v>0.223</v>
      </c>
      <c r="L6">
        <f t="shared" si="4"/>
        <v>4.7000000000000014E-2</v>
      </c>
      <c r="M6" s="1">
        <v>0.22600000000000001</v>
      </c>
      <c r="N6">
        <f t="shared" si="5"/>
        <v>5.8999999999999997E-2</v>
      </c>
      <c r="O6" s="1">
        <v>0.192</v>
      </c>
      <c r="P6">
        <f t="shared" si="6"/>
        <v>2.4999999999999994E-2</v>
      </c>
      <c r="Q6" s="1">
        <v>0.23100000000000001</v>
      </c>
      <c r="R6">
        <f t="shared" si="7"/>
        <v>0.06</v>
      </c>
      <c r="S6" s="1">
        <v>0.251</v>
      </c>
      <c r="T6">
        <f t="shared" si="8"/>
        <v>5.4999999999999993E-2</v>
      </c>
      <c r="U6" s="1">
        <v>0.20799999999999999</v>
      </c>
      <c r="V6">
        <f t="shared" si="9"/>
        <v>1.7999999999999988E-2</v>
      </c>
      <c r="W6" s="1">
        <v>0.23599999999999999</v>
      </c>
      <c r="X6">
        <f t="shared" si="10"/>
        <v>5.1999999999999991E-2</v>
      </c>
      <c r="Y6" s="1">
        <v>0.27700000000000002</v>
      </c>
      <c r="Z6">
        <f t="shared" si="11"/>
        <v>5.0000000000000017E-2</v>
      </c>
      <c r="AA6" s="1">
        <v>0.20499999999999999</v>
      </c>
      <c r="AB6">
        <f t="shared" si="12"/>
        <v>1.2999999999999984E-2</v>
      </c>
      <c r="AC6" s="1">
        <v>0.219</v>
      </c>
      <c r="AD6">
        <f t="shared" si="13"/>
        <v>4.4000000000000011E-2</v>
      </c>
      <c r="AE6" s="1">
        <v>0.19900000000000001</v>
      </c>
      <c r="AF6">
        <f t="shared" si="14"/>
        <v>-1.6999999999999987E-2</v>
      </c>
      <c r="AG6">
        <v>0.17699999999999999</v>
      </c>
      <c r="AH6">
        <f t="shared" si="15"/>
        <v>1.2999999999999984E-2</v>
      </c>
      <c r="AI6">
        <v>0.20499999999999999</v>
      </c>
      <c r="AJ6">
        <f t="shared" si="16"/>
        <v>2.8999999999999998E-2</v>
      </c>
      <c r="AK6">
        <v>0.19600000000000001</v>
      </c>
      <c r="AL6">
        <f t="shared" si="17"/>
        <v>-7.0000000000000062E-3</v>
      </c>
      <c r="AM6" s="1">
        <v>0.13500000000000001</v>
      </c>
      <c r="AN6" s="2">
        <f t="shared" si="18"/>
        <v>2.4000000000000007E-2</v>
      </c>
      <c r="AO6" s="1">
        <v>0.11799999999999999</v>
      </c>
      <c r="AP6" s="2">
        <f t="shared" si="19"/>
        <v>8.9999999999999941E-3</v>
      </c>
      <c r="AQ6" s="1">
        <v>0.126</v>
      </c>
      <c r="AR6" s="2">
        <f t="shared" si="20"/>
        <v>1.3999999999999999E-2</v>
      </c>
      <c r="AS6" s="1">
        <v>0.254</v>
      </c>
      <c r="AT6" s="2">
        <f t="shared" si="21"/>
        <v>5.7999999999999996E-2</v>
      </c>
      <c r="AU6" s="1">
        <v>0.249</v>
      </c>
      <c r="AV6" s="2">
        <f t="shared" si="22"/>
        <v>5.099999999999999E-2</v>
      </c>
      <c r="AW6" s="1">
        <v>0.245</v>
      </c>
      <c r="AX6" s="2">
        <f t="shared" si="23"/>
        <v>3.9000000000000007E-2</v>
      </c>
      <c r="AY6" s="1">
        <v>0.28100000000000003</v>
      </c>
      <c r="AZ6">
        <f t="shared" si="24"/>
        <v>7.2000000000000036E-2</v>
      </c>
      <c r="BA6" s="1">
        <v>0.255</v>
      </c>
      <c r="BB6">
        <f t="shared" si="25"/>
        <v>4.9000000000000016E-2</v>
      </c>
      <c r="BC6" s="1">
        <v>0.25800000000000001</v>
      </c>
      <c r="BD6">
        <f t="shared" si="26"/>
        <v>4.4000000000000011E-2</v>
      </c>
      <c r="BE6" s="1">
        <v>0.27900000000000003</v>
      </c>
      <c r="BF6">
        <f t="shared" si="27"/>
        <v>6.2000000000000027E-2</v>
      </c>
      <c r="BG6" s="1">
        <v>0.245</v>
      </c>
      <c r="BH6">
        <f t="shared" si="28"/>
        <v>4.0000000000000008E-2</v>
      </c>
      <c r="BI6" s="1">
        <v>0.247</v>
      </c>
      <c r="BJ6">
        <f t="shared" si="29"/>
        <v>4.1000000000000009E-2</v>
      </c>
      <c r="BK6" s="1">
        <v>0.28999999999999998</v>
      </c>
      <c r="BL6">
        <f t="shared" si="30"/>
        <v>7.099999999999998E-2</v>
      </c>
      <c r="BM6" s="1">
        <v>0.246</v>
      </c>
      <c r="BN6">
        <f t="shared" si="31"/>
        <v>0.03</v>
      </c>
      <c r="BO6" s="1">
        <v>0.26</v>
      </c>
      <c r="BP6">
        <f t="shared" si="32"/>
        <v>3.9000000000000007E-2</v>
      </c>
      <c r="BQ6">
        <v>0.28599999999999998</v>
      </c>
      <c r="BR6">
        <f t="shared" si="33"/>
        <v>6.6999999999999976E-2</v>
      </c>
      <c r="BS6">
        <v>0.23899999999999999</v>
      </c>
      <c r="BT6">
        <f t="shared" si="34"/>
        <v>3.6999999999999977E-2</v>
      </c>
      <c r="BU6">
        <v>0.26200000000000001</v>
      </c>
      <c r="BV6">
        <f t="shared" si="35"/>
        <v>3.8000000000000006E-2</v>
      </c>
      <c r="BW6" s="1">
        <v>0.108</v>
      </c>
      <c r="BX6" s="2">
        <f t="shared" si="36"/>
        <v>-5.1000000000000004E-2</v>
      </c>
      <c r="BY6" s="1">
        <v>0.10199999999999999</v>
      </c>
      <c r="BZ6" s="2">
        <f t="shared" si="37"/>
        <v>-2.0000000000000018E-3</v>
      </c>
      <c r="CA6" s="1">
        <v>0.11600000000000001</v>
      </c>
      <c r="CB6" s="2">
        <f t="shared" si="38"/>
        <v>-0.373</v>
      </c>
      <c r="CC6" s="1">
        <v>0.223</v>
      </c>
      <c r="CD6" s="2">
        <f t="shared" si="39"/>
        <v>8.0000000000000071E-3</v>
      </c>
      <c r="CE6" s="1">
        <v>0.22</v>
      </c>
      <c r="CF6" s="2">
        <f t="shared" si="40"/>
        <v>3.8000000000000006E-2</v>
      </c>
      <c r="CG6" s="1">
        <v>0.23</v>
      </c>
      <c r="CH6" s="2">
        <f t="shared" si="41"/>
        <v>3.9000000000000007E-2</v>
      </c>
      <c r="CI6" s="1">
        <v>0.217</v>
      </c>
      <c r="CJ6">
        <f t="shared" si="42"/>
        <v>7.0000000000000062E-3</v>
      </c>
      <c r="CK6" s="1">
        <v>0.23</v>
      </c>
      <c r="CL6">
        <f t="shared" si="43"/>
        <v>3.5000000000000003E-2</v>
      </c>
      <c r="CM6" s="1">
        <v>0.23499999999999999</v>
      </c>
      <c r="CN6">
        <f t="shared" si="44"/>
        <v>2.7999999999999997E-2</v>
      </c>
      <c r="CO6" s="1">
        <v>0.219</v>
      </c>
      <c r="CP6">
        <f t="shared" si="45"/>
        <v>2.0000000000000018E-3</v>
      </c>
      <c r="CQ6" s="1">
        <v>0.22800000000000001</v>
      </c>
      <c r="CR6">
        <f t="shared" si="46"/>
        <v>2.8999999999999998E-2</v>
      </c>
      <c r="CS6" s="1">
        <v>0.223</v>
      </c>
      <c r="CT6">
        <f t="shared" si="47"/>
        <v>2.2999999999999993E-2</v>
      </c>
      <c r="CU6" s="1">
        <v>0.22500000000000001</v>
      </c>
      <c r="CV6">
        <f t="shared" si="48"/>
        <v>5.0000000000000044E-3</v>
      </c>
      <c r="CW6" s="1">
        <v>0.22700000000000001</v>
      </c>
      <c r="CX6">
        <f t="shared" si="49"/>
        <v>2.1000000000000019E-2</v>
      </c>
      <c r="CY6" s="1">
        <v>0.222</v>
      </c>
      <c r="CZ6">
        <f t="shared" si="50"/>
        <v>1.4000000000000012E-2</v>
      </c>
      <c r="DA6">
        <v>0.21199999999999999</v>
      </c>
      <c r="DB6">
        <f t="shared" si="51"/>
        <v>-4.0000000000000036E-3</v>
      </c>
      <c r="DC6">
        <v>0.216</v>
      </c>
      <c r="DD6">
        <f t="shared" si="52"/>
        <v>1.2999999999999984E-2</v>
      </c>
      <c r="DE6">
        <v>0.219</v>
      </c>
      <c r="DF6">
        <f t="shared" si="53"/>
        <v>1.4000000000000012E-2</v>
      </c>
    </row>
    <row r="7" spans="1:110">
      <c r="A7" t="s">
        <v>65</v>
      </c>
      <c r="B7" t="s">
        <v>66</v>
      </c>
      <c r="C7" s="1">
        <v>0.159</v>
      </c>
      <c r="D7" s="1">
        <f t="shared" si="0"/>
        <v>3.5000000000000003E-2</v>
      </c>
      <c r="E7" s="1">
        <v>0.14399999999999999</v>
      </c>
      <c r="F7">
        <f t="shared" si="1"/>
        <v>2.5999999999999995E-2</v>
      </c>
      <c r="G7" s="1">
        <v>0.13500000000000001</v>
      </c>
      <c r="H7">
        <f t="shared" si="2"/>
        <v>1.0000000000000009E-3</v>
      </c>
      <c r="I7" s="1">
        <v>0.20599999999999999</v>
      </c>
      <c r="J7">
        <f t="shared" si="3"/>
        <v>3.4000000000000002E-2</v>
      </c>
      <c r="K7" s="1">
        <v>0.254</v>
      </c>
      <c r="L7">
        <f t="shared" si="4"/>
        <v>7.8000000000000014E-2</v>
      </c>
      <c r="M7" s="1">
        <v>0.24399999999999999</v>
      </c>
      <c r="N7">
        <f t="shared" si="5"/>
        <v>7.6999999999999985E-2</v>
      </c>
      <c r="O7" s="1">
        <v>0.20200000000000001</v>
      </c>
      <c r="P7">
        <f t="shared" si="6"/>
        <v>3.5000000000000003E-2</v>
      </c>
      <c r="Q7" s="1">
        <v>0.26200000000000001</v>
      </c>
      <c r="R7">
        <f t="shared" si="7"/>
        <v>9.0999999999999998E-2</v>
      </c>
      <c r="S7" s="1">
        <v>0.246</v>
      </c>
      <c r="T7">
        <f t="shared" si="8"/>
        <v>4.9999999999999989E-2</v>
      </c>
      <c r="U7" s="1">
        <v>0.216</v>
      </c>
      <c r="V7">
        <f t="shared" si="9"/>
        <v>2.5999999999999995E-2</v>
      </c>
      <c r="W7" s="1">
        <v>0.28299999999999997</v>
      </c>
      <c r="X7">
        <f t="shared" si="10"/>
        <v>9.8999999999999977E-2</v>
      </c>
      <c r="Y7" s="1">
        <v>0.25700000000000001</v>
      </c>
      <c r="Z7">
        <f t="shared" si="11"/>
        <v>0.03</v>
      </c>
      <c r="AA7" s="1">
        <v>0.218</v>
      </c>
      <c r="AB7">
        <f t="shared" si="12"/>
        <v>2.5999999999999995E-2</v>
      </c>
      <c r="AC7" s="1">
        <v>0.27</v>
      </c>
      <c r="AD7">
        <f t="shared" si="13"/>
        <v>9.5000000000000029E-2</v>
      </c>
      <c r="AE7" s="1">
        <v>0.24399999999999999</v>
      </c>
      <c r="AF7">
        <f t="shared" si="14"/>
        <v>2.7999999999999997E-2</v>
      </c>
      <c r="AG7">
        <v>0.19400000000000001</v>
      </c>
      <c r="AH7">
        <f t="shared" si="15"/>
        <v>0.03</v>
      </c>
      <c r="AI7">
        <v>0.251</v>
      </c>
      <c r="AJ7">
        <f t="shared" si="16"/>
        <v>7.5000000000000011E-2</v>
      </c>
      <c r="AK7">
        <v>0.223</v>
      </c>
      <c r="AL7">
        <f t="shared" si="17"/>
        <v>1.999999999999999E-2</v>
      </c>
      <c r="AM7" s="1">
        <v>0.12</v>
      </c>
      <c r="AN7" s="2">
        <f t="shared" si="18"/>
        <v>8.9999999999999941E-3</v>
      </c>
      <c r="AO7" s="1">
        <v>0.128</v>
      </c>
      <c r="AP7" s="2">
        <f t="shared" si="19"/>
        <v>1.9000000000000003E-2</v>
      </c>
      <c r="AQ7" s="1">
        <v>0.13800000000000001</v>
      </c>
      <c r="AR7" s="2">
        <f t="shared" si="20"/>
        <v>2.6000000000000009E-2</v>
      </c>
      <c r="AS7" s="1">
        <v>0.27700000000000002</v>
      </c>
      <c r="AT7" s="2">
        <f t="shared" si="21"/>
        <v>8.1000000000000016E-2</v>
      </c>
      <c r="AU7" s="1">
        <v>0.27300000000000002</v>
      </c>
      <c r="AV7" s="2">
        <f t="shared" si="22"/>
        <v>7.5000000000000011E-2</v>
      </c>
      <c r="AW7" s="1">
        <v>0.29099999999999998</v>
      </c>
      <c r="AX7" s="2">
        <f t="shared" si="23"/>
        <v>8.4999999999999992E-2</v>
      </c>
      <c r="AY7" s="1">
        <v>0.29699999999999999</v>
      </c>
      <c r="AZ7">
        <f t="shared" si="24"/>
        <v>8.7999999999999995E-2</v>
      </c>
      <c r="BA7" s="1">
        <v>0.27900000000000003</v>
      </c>
      <c r="BB7">
        <f t="shared" si="25"/>
        <v>7.3000000000000037E-2</v>
      </c>
      <c r="BC7" s="1">
        <v>0.311</v>
      </c>
      <c r="BD7">
        <f t="shared" si="26"/>
        <v>9.7000000000000003E-2</v>
      </c>
      <c r="BE7" s="1">
        <v>0.29699999999999999</v>
      </c>
      <c r="BF7">
        <f t="shared" si="27"/>
        <v>7.9999999999999988E-2</v>
      </c>
      <c r="BG7" s="1">
        <v>0.28100000000000003</v>
      </c>
      <c r="BH7">
        <f t="shared" si="28"/>
        <v>7.600000000000004E-2</v>
      </c>
      <c r="BI7" s="1">
        <v>0.29899999999999999</v>
      </c>
      <c r="BJ7">
        <f t="shared" si="29"/>
        <v>9.2999999999999999E-2</v>
      </c>
      <c r="BK7" s="1">
        <v>0.29799999999999999</v>
      </c>
      <c r="BL7">
        <f t="shared" si="30"/>
        <v>7.8999999999999987E-2</v>
      </c>
      <c r="BM7" s="1">
        <v>0.28000000000000003</v>
      </c>
      <c r="BN7">
        <f t="shared" si="31"/>
        <v>6.4000000000000029E-2</v>
      </c>
      <c r="BO7" s="1">
        <v>0.30399999999999999</v>
      </c>
      <c r="BP7">
        <f t="shared" si="32"/>
        <v>8.299999999999999E-2</v>
      </c>
      <c r="BQ7">
        <v>0.29299999999999998</v>
      </c>
      <c r="BR7">
        <f t="shared" si="33"/>
        <v>7.3999999999999982E-2</v>
      </c>
      <c r="BS7">
        <v>0.28100000000000003</v>
      </c>
      <c r="BT7">
        <f t="shared" si="34"/>
        <v>7.9000000000000015E-2</v>
      </c>
      <c r="BU7">
        <v>0.30599999999999999</v>
      </c>
      <c r="BV7">
        <f t="shared" si="35"/>
        <v>8.199999999999999E-2</v>
      </c>
      <c r="BW7" s="1">
        <v>0.16400000000000001</v>
      </c>
      <c r="BX7" s="2">
        <f t="shared" si="36"/>
        <v>5.0000000000000044E-3</v>
      </c>
      <c r="BY7" s="1">
        <v>0.123</v>
      </c>
      <c r="BZ7" s="2">
        <f t="shared" si="37"/>
        <v>1.9000000000000003E-2</v>
      </c>
      <c r="CA7" s="1">
        <v>0.14499999999999999</v>
      </c>
      <c r="CB7" s="2">
        <f t="shared" si="38"/>
        <v>-0.34399999999999997</v>
      </c>
      <c r="CC7" s="1">
        <v>0.27800000000000002</v>
      </c>
      <c r="CD7" s="2">
        <f t="shared" si="39"/>
        <v>6.3000000000000028E-2</v>
      </c>
      <c r="CE7" s="1">
        <v>0.23100000000000001</v>
      </c>
      <c r="CF7" s="2">
        <f t="shared" si="40"/>
        <v>4.9000000000000016E-2</v>
      </c>
      <c r="CG7" s="1">
        <v>0.215</v>
      </c>
      <c r="CH7" s="2">
        <f t="shared" si="41"/>
        <v>2.3999999999999994E-2</v>
      </c>
      <c r="CI7" s="1">
        <v>0.27700000000000002</v>
      </c>
      <c r="CJ7">
        <f t="shared" si="42"/>
        <v>6.7000000000000032E-2</v>
      </c>
      <c r="CK7" s="1">
        <v>0.224</v>
      </c>
      <c r="CL7">
        <f t="shared" si="43"/>
        <v>2.8999999999999998E-2</v>
      </c>
      <c r="CM7" s="1">
        <v>0.23</v>
      </c>
      <c r="CN7">
        <f t="shared" si="44"/>
        <v>2.300000000000002E-2</v>
      </c>
      <c r="CO7" s="1">
        <v>0.27600000000000002</v>
      </c>
      <c r="CP7">
        <f t="shared" si="45"/>
        <v>5.9000000000000025E-2</v>
      </c>
      <c r="CQ7" s="1">
        <v>0.221</v>
      </c>
      <c r="CR7">
        <f t="shared" si="46"/>
        <v>2.1999999999999992E-2</v>
      </c>
      <c r="CS7" s="1">
        <v>0.216</v>
      </c>
      <c r="CT7">
        <f t="shared" si="47"/>
        <v>1.5999999999999986E-2</v>
      </c>
      <c r="CU7" s="1">
        <v>0.27200000000000002</v>
      </c>
      <c r="CV7">
        <f t="shared" si="48"/>
        <v>5.2000000000000018E-2</v>
      </c>
      <c r="CW7" s="1">
        <v>0.22600000000000001</v>
      </c>
      <c r="CX7">
        <f t="shared" si="49"/>
        <v>2.0000000000000018E-2</v>
      </c>
      <c r="CY7" s="1">
        <v>0.23</v>
      </c>
      <c r="CZ7">
        <f t="shared" si="50"/>
        <v>2.200000000000002E-2</v>
      </c>
      <c r="DA7">
        <v>0.26</v>
      </c>
      <c r="DB7">
        <f t="shared" si="51"/>
        <v>4.4000000000000011E-2</v>
      </c>
      <c r="DC7">
        <v>0.22</v>
      </c>
      <c r="DD7">
        <f t="shared" si="52"/>
        <v>1.6999999999999987E-2</v>
      </c>
      <c r="DE7">
        <v>0.22700000000000001</v>
      </c>
      <c r="DF7">
        <f t="shared" si="53"/>
        <v>2.200000000000002E-2</v>
      </c>
    </row>
    <row r="8" spans="1:110">
      <c r="A8" t="s">
        <v>67</v>
      </c>
      <c r="B8" t="s">
        <v>68</v>
      </c>
      <c r="C8" s="1">
        <v>0.13100000000000001</v>
      </c>
      <c r="D8" s="1">
        <f t="shared" si="0"/>
        <v>7.0000000000000062E-3</v>
      </c>
      <c r="E8" s="1">
        <v>0.11799999999999999</v>
      </c>
      <c r="F8">
        <f t="shared" si="1"/>
        <v>0</v>
      </c>
      <c r="G8" s="1">
        <v>0.126</v>
      </c>
      <c r="H8">
        <f t="shared" si="2"/>
        <v>-8.0000000000000071E-3</v>
      </c>
      <c r="I8" s="1">
        <v>0.96099999999999997</v>
      </c>
      <c r="J8">
        <f t="shared" si="3"/>
        <v>0.78899999999999992</v>
      </c>
      <c r="K8" s="1">
        <v>1.028</v>
      </c>
      <c r="L8">
        <f t="shared" si="4"/>
        <v>0.85200000000000009</v>
      </c>
      <c r="M8" s="1">
        <v>1.004</v>
      </c>
      <c r="N8">
        <f t="shared" si="5"/>
        <v>0.83699999999999997</v>
      </c>
      <c r="O8" s="1">
        <v>1.155</v>
      </c>
      <c r="P8">
        <f t="shared" si="6"/>
        <v>0.98799999999999999</v>
      </c>
      <c r="Q8" s="1">
        <v>1.246</v>
      </c>
      <c r="R8">
        <f t="shared" si="7"/>
        <v>1.075</v>
      </c>
      <c r="S8" s="1">
        <v>1.163</v>
      </c>
      <c r="T8">
        <f t="shared" si="8"/>
        <v>0.96700000000000008</v>
      </c>
      <c r="U8" s="1">
        <v>1.0629999999999999</v>
      </c>
      <c r="V8">
        <f t="shared" si="9"/>
        <v>0.873</v>
      </c>
      <c r="W8" s="1">
        <v>1.093</v>
      </c>
      <c r="X8">
        <f t="shared" si="10"/>
        <v>0.90900000000000003</v>
      </c>
      <c r="Y8" s="1">
        <v>1.101</v>
      </c>
      <c r="Z8">
        <f t="shared" si="11"/>
        <v>0.874</v>
      </c>
      <c r="AA8" s="1">
        <v>0.95699999999999996</v>
      </c>
      <c r="AB8">
        <f t="shared" si="12"/>
        <v>0.7649999999999999</v>
      </c>
      <c r="AC8" s="1">
        <v>0.92500000000000004</v>
      </c>
      <c r="AD8">
        <f t="shared" si="13"/>
        <v>0.75</v>
      </c>
      <c r="AE8" s="1">
        <v>0.92200000000000004</v>
      </c>
      <c r="AF8">
        <f t="shared" si="14"/>
        <v>0.70600000000000007</v>
      </c>
      <c r="AG8">
        <v>0.88100000000000001</v>
      </c>
      <c r="AH8">
        <f t="shared" si="15"/>
        <v>0.71699999999999997</v>
      </c>
      <c r="AI8">
        <v>0.877</v>
      </c>
      <c r="AJ8">
        <f t="shared" si="16"/>
        <v>0.70100000000000007</v>
      </c>
      <c r="AK8">
        <v>0.89600000000000002</v>
      </c>
      <c r="AL8">
        <f t="shared" si="17"/>
        <v>0.69300000000000006</v>
      </c>
      <c r="AM8" s="1">
        <v>0.11</v>
      </c>
      <c r="AN8" s="2">
        <f t="shared" si="18"/>
        <v>-1.0000000000000009E-3</v>
      </c>
      <c r="AO8" s="1">
        <v>0.113</v>
      </c>
      <c r="AP8" s="2">
        <f t="shared" si="19"/>
        <v>4.0000000000000036E-3</v>
      </c>
      <c r="AQ8" s="1">
        <v>0.127</v>
      </c>
      <c r="AR8" s="2">
        <f t="shared" si="20"/>
        <v>1.4999999999999999E-2</v>
      </c>
      <c r="AS8" s="1">
        <v>0.80100000000000005</v>
      </c>
      <c r="AT8" s="2">
        <f t="shared" si="21"/>
        <v>0.60499999999999998</v>
      </c>
      <c r="AU8" s="1">
        <v>0.82799999999999996</v>
      </c>
      <c r="AV8" s="2">
        <f t="shared" si="22"/>
        <v>0.62999999999999989</v>
      </c>
      <c r="AW8" s="1">
        <v>0.81200000000000006</v>
      </c>
      <c r="AX8" s="2">
        <f t="shared" si="23"/>
        <v>0.60600000000000009</v>
      </c>
      <c r="AY8" s="1">
        <v>1.0620000000000001</v>
      </c>
      <c r="AZ8">
        <f t="shared" si="24"/>
        <v>0.85300000000000009</v>
      </c>
      <c r="BA8" s="1">
        <v>1.093</v>
      </c>
      <c r="BB8">
        <f t="shared" si="25"/>
        <v>0.88700000000000001</v>
      </c>
      <c r="BC8" s="1">
        <v>1.0609999999999999</v>
      </c>
      <c r="BD8">
        <f t="shared" si="26"/>
        <v>0.84699999999999998</v>
      </c>
      <c r="BE8" s="1">
        <v>1.1240000000000001</v>
      </c>
      <c r="BF8">
        <f t="shared" si="27"/>
        <v>0.90700000000000014</v>
      </c>
      <c r="BG8" s="1">
        <v>1.218</v>
      </c>
      <c r="BH8">
        <f t="shared" si="28"/>
        <v>1.0129999999999999</v>
      </c>
      <c r="BI8" s="1">
        <v>1.1279999999999999</v>
      </c>
      <c r="BJ8">
        <f t="shared" si="29"/>
        <v>0.92199999999999993</v>
      </c>
      <c r="BK8" s="1">
        <v>1.1579999999999999</v>
      </c>
      <c r="BL8">
        <f t="shared" si="30"/>
        <v>0.93899999999999995</v>
      </c>
      <c r="BM8" s="1">
        <v>1.224</v>
      </c>
      <c r="BN8">
        <f t="shared" si="31"/>
        <v>1.008</v>
      </c>
      <c r="BO8" s="1">
        <v>1.0880000000000001</v>
      </c>
      <c r="BP8">
        <f t="shared" si="32"/>
        <v>0.8670000000000001</v>
      </c>
      <c r="BQ8">
        <v>1.1459999999999999</v>
      </c>
      <c r="BR8">
        <f t="shared" si="33"/>
        <v>0.92699999999999994</v>
      </c>
      <c r="BS8">
        <v>1.157</v>
      </c>
      <c r="BT8">
        <f t="shared" si="34"/>
        <v>0.95500000000000007</v>
      </c>
      <c r="BU8">
        <v>1.1040000000000001</v>
      </c>
      <c r="BV8">
        <f t="shared" si="35"/>
        <v>0.88000000000000012</v>
      </c>
      <c r="BW8" s="1">
        <v>0.107</v>
      </c>
      <c r="BX8" s="2">
        <f t="shared" si="36"/>
        <v>-5.2000000000000005E-2</v>
      </c>
      <c r="BY8" s="1">
        <v>0.105</v>
      </c>
      <c r="BZ8" s="2">
        <f t="shared" si="37"/>
        <v>1.0000000000000009E-3</v>
      </c>
      <c r="CA8" s="1">
        <v>0.11799999999999999</v>
      </c>
      <c r="CB8" s="2">
        <f t="shared" si="38"/>
        <v>-0.371</v>
      </c>
      <c r="CC8" s="1">
        <v>0.875</v>
      </c>
      <c r="CD8" s="2">
        <f t="shared" si="39"/>
        <v>0.66</v>
      </c>
      <c r="CE8" s="1">
        <v>0.82599999999999996</v>
      </c>
      <c r="CF8" s="2">
        <f t="shared" si="40"/>
        <v>0.64399999999999991</v>
      </c>
      <c r="CG8" s="1">
        <v>0.84099999999999997</v>
      </c>
      <c r="CH8" s="2">
        <f t="shared" si="41"/>
        <v>0.64999999999999991</v>
      </c>
      <c r="CI8" s="1">
        <v>1.117</v>
      </c>
      <c r="CJ8">
        <f t="shared" si="42"/>
        <v>0.90700000000000003</v>
      </c>
      <c r="CK8" s="1">
        <v>1.0900000000000001</v>
      </c>
      <c r="CL8">
        <f t="shared" si="43"/>
        <v>0.89500000000000002</v>
      </c>
      <c r="CM8" s="1">
        <v>1.1970000000000001</v>
      </c>
      <c r="CN8">
        <f t="shared" si="44"/>
        <v>0.9900000000000001</v>
      </c>
      <c r="CO8" s="1">
        <v>1.042</v>
      </c>
      <c r="CP8">
        <f t="shared" si="45"/>
        <v>0.82500000000000007</v>
      </c>
      <c r="CQ8" s="1">
        <v>1.1739999999999999</v>
      </c>
      <c r="CR8">
        <f t="shared" si="46"/>
        <v>0.97499999999999987</v>
      </c>
      <c r="CS8" s="1">
        <v>1.143</v>
      </c>
      <c r="CT8">
        <f t="shared" si="47"/>
        <v>0.94300000000000006</v>
      </c>
      <c r="CU8" s="1">
        <v>1.135</v>
      </c>
      <c r="CV8">
        <f t="shared" si="48"/>
        <v>0.91500000000000004</v>
      </c>
      <c r="CW8" s="1">
        <v>1.1890000000000001</v>
      </c>
      <c r="CX8">
        <f t="shared" si="49"/>
        <v>0.9830000000000001</v>
      </c>
      <c r="CY8" s="1">
        <v>1.1870000000000001</v>
      </c>
      <c r="CZ8">
        <f t="shared" si="50"/>
        <v>0.97900000000000009</v>
      </c>
      <c r="DA8">
        <v>1.135</v>
      </c>
      <c r="DB8">
        <f t="shared" si="51"/>
        <v>0.91900000000000004</v>
      </c>
      <c r="DC8">
        <v>1.113</v>
      </c>
      <c r="DD8">
        <f t="shared" si="52"/>
        <v>0.90999999999999992</v>
      </c>
      <c r="DE8">
        <v>1.202</v>
      </c>
      <c r="DF8">
        <f t="shared" si="53"/>
        <v>0.997</v>
      </c>
    </row>
    <row r="9" spans="1:110">
      <c r="A9" t="s">
        <v>69</v>
      </c>
      <c r="B9" t="s">
        <v>70</v>
      </c>
      <c r="C9" s="1">
        <v>0.14499999999999999</v>
      </c>
      <c r="D9" s="1">
        <f t="shared" si="0"/>
        <v>2.0999999999999991E-2</v>
      </c>
      <c r="E9" s="1">
        <v>0.154</v>
      </c>
      <c r="F9">
        <f t="shared" si="1"/>
        <v>3.6000000000000004E-2</v>
      </c>
      <c r="G9" s="1">
        <v>0.13</v>
      </c>
      <c r="H9">
        <f t="shared" si="2"/>
        <v>-4.0000000000000036E-3</v>
      </c>
      <c r="I9" s="1">
        <v>0.254</v>
      </c>
      <c r="J9">
        <f t="shared" si="3"/>
        <v>8.2000000000000017E-2</v>
      </c>
      <c r="K9" s="1">
        <v>0.31</v>
      </c>
      <c r="L9">
        <f t="shared" si="4"/>
        <v>0.13400000000000001</v>
      </c>
      <c r="M9" s="1">
        <v>0.309</v>
      </c>
      <c r="N9">
        <f t="shared" si="5"/>
        <v>0.14199999999999999</v>
      </c>
      <c r="O9" s="1">
        <v>0.23</v>
      </c>
      <c r="P9">
        <f t="shared" si="6"/>
        <v>6.3E-2</v>
      </c>
      <c r="Q9" s="1">
        <v>0.29599999999999999</v>
      </c>
      <c r="R9">
        <f t="shared" si="7"/>
        <v>0.12499999999999997</v>
      </c>
      <c r="S9" s="1">
        <v>0.30299999999999999</v>
      </c>
      <c r="T9">
        <f t="shared" si="8"/>
        <v>0.10699999999999998</v>
      </c>
      <c r="U9" s="1">
        <v>0.27600000000000002</v>
      </c>
      <c r="V9">
        <f t="shared" si="9"/>
        <v>8.6000000000000021E-2</v>
      </c>
      <c r="W9" s="1">
        <v>0.30399999999999999</v>
      </c>
      <c r="X9">
        <f t="shared" si="10"/>
        <v>0.12</v>
      </c>
      <c r="Y9" s="1">
        <v>0.29399999999999998</v>
      </c>
      <c r="Z9">
        <f t="shared" si="11"/>
        <v>6.6999999999999976E-2</v>
      </c>
      <c r="AA9" s="1">
        <v>0.29799999999999999</v>
      </c>
      <c r="AB9">
        <f t="shared" si="12"/>
        <v>0.10599999999999998</v>
      </c>
      <c r="AC9" s="1">
        <v>0.3</v>
      </c>
      <c r="AD9">
        <f t="shared" si="13"/>
        <v>0.125</v>
      </c>
      <c r="AE9" s="1">
        <v>0.28100000000000003</v>
      </c>
      <c r="AF9">
        <f t="shared" si="14"/>
        <v>6.500000000000003E-2</v>
      </c>
      <c r="AG9">
        <v>0.28399999999999997</v>
      </c>
      <c r="AH9">
        <f t="shared" si="15"/>
        <v>0.11999999999999997</v>
      </c>
      <c r="AI9">
        <v>0.312</v>
      </c>
      <c r="AJ9">
        <f t="shared" si="16"/>
        <v>0.13600000000000001</v>
      </c>
      <c r="AK9">
        <v>0.29699999999999999</v>
      </c>
      <c r="AL9">
        <f t="shared" si="17"/>
        <v>9.3999999999999972E-2</v>
      </c>
      <c r="AM9" s="1">
        <v>0.14199999999999999</v>
      </c>
      <c r="AN9" s="2">
        <f t="shared" si="18"/>
        <v>3.0999999999999986E-2</v>
      </c>
      <c r="AO9" s="1">
        <v>0.157</v>
      </c>
      <c r="AP9" s="2">
        <f t="shared" si="19"/>
        <v>4.8000000000000001E-2</v>
      </c>
      <c r="AQ9" s="1">
        <v>0.14099999999999999</v>
      </c>
      <c r="AR9" s="2">
        <f t="shared" si="20"/>
        <v>2.8999999999999984E-2</v>
      </c>
      <c r="AS9" s="1">
        <v>0.33900000000000002</v>
      </c>
      <c r="AT9" s="2">
        <f t="shared" si="21"/>
        <v>0.14300000000000002</v>
      </c>
      <c r="AU9" s="1">
        <v>0.379</v>
      </c>
      <c r="AV9" s="2">
        <f t="shared" si="22"/>
        <v>0.18099999999999999</v>
      </c>
      <c r="AW9" s="1">
        <v>0.39300000000000002</v>
      </c>
      <c r="AX9" s="2">
        <f t="shared" si="23"/>
        <v>0.18700000000000003</v>
      </c>
      <c r="AY9" s="1">
        <v>0.36599999999999999</v>
      </c>
      <c r="AZ9">
        <f t="shared" si="24"/>
        <v>0.157</v>
      </c>
      <c r="BA9" s="1">
        <v>0.38600000000000001</v>
      </c>
      <c r="BB9">
        <f t="shared" si="25"/>
        <v>0.18000000000000002</v>
      </c>
      <c r="BC9" s="1">
        <v>0.40400000000000003</v>
      </c>
      <c r="BD9">
        <f t="shared" si="26"/>
        <v>0.19000000000000003</v>
      </c>
      <c r="BE9" s="1">
        <v>0.36199999999999999</v>
      </c>
      <c r="BF9">
        <f t="shared" si="27"/>
        <v>0.14499999999999999</v>
      </c>
      <c r="BG9" s="1">
        <v>0.39200000000000002</v>
      </c>
      <c r="BH9">
        <f t="shared" si="28"/>
        <v>0.18700000000000003</v>
      </c>
      <c r="BI9" s="1">
        <v>0.40200000000000002</v>
      </c>
      <c r="BJ9">
        <f t="shared" si="29"/>
        <v>0.19600000000000004</v>
      </c>
      <c r="BK9" s="1">
        <v>0.36099999999999999</v>
      </c>
      <c r="BL9">
        <f t="shared" si="30"/>
        <v>0.14199999999999999</v>
      </c>
      <c r="BM9" s="1">
        <v>0.39200000000000002</v>
      </c>
      <c r="BN9">
        <f t="shared" si="31"/>
        <v>0.17600000000000002</v>
      </c>
      <c r="BO9" s="1">
        <v>0.39200000000000002</v>
      </c>
      <c r="BP9">
        <f t="shared" si="32"/>
        <v>0.17100000000000001</v>
      </c>
      <c r="BQ9">
        <v>0.36599999999999999</v>
      </c>
      <c r="BR9">
        <f t="shared" si="33"/>
        <v>0.14699999999999999</v>
      </c>
      <c r="BS9">
        <v>0.38300000000000001</v>
      </c>
      <c r="BT9">
        <f t="shared" si="34"/>
        <v>0.18099999999999999</v>
      </c>
      <c r="BU9">
        <v>0.40400000000000003</v>
      </c>
      <c r="BV9">
        <f t="shared" si="35"/>
        <v>0.18000000000000002</v>
      </c>
      <c r="BW9" s="1">
        <v>0.13200000000000001</v>
      </c>
      <c r="BX9" s="2">
        <f t="shared" si="36"/>
        <v>-2.6999999999999996E-2</v>
      </c>
      <c r="BY9" s="1">
        <v>0.126</v>
      </c>
      <c r="BZ9" s="2">
        <f t="shared" si="37"/>
        <v>2.2000000000000006E-2</v>
      </c>
      <c r="CA9" s="1">
        <v>0.13300000000000001</v>
      </c>
      <c r="CB9" s="2">
        <f t="shared" si="38"/>
        <v>-0.35599999999999998</v>
      </c>
      <c r="CC9" s="1">
        <v>0.27500000000000002</v>
      </c>
      <c r="CD9" s="2">
        <f t="shared" si="39"/>
        <v>6.0000000000000026E-2</v>
      </c>
      <c r="CE9" s="1">
        <v>0.26500000000000001</v>
      </c>
      <c r="CF9" s="2">
        <f t="shared" si="40"/>
        <v>8.3000000000000018E-2</v>
      </c>
      <c r="CG9" s="1">
        <v>0.308</v>
      </c>
      <c r="CH9" s="2">
        <f t="shared" si="41"/>
        <v>0.11699999999999999</v>
      </c>
      <c r="CI9" s="1">
        <v>0.28299999999999997</v>
      </c>
      <c r="CJ9">
        <f t="shared" si="42"/>
        <v>7.2999999999999982E-2</v>
      </c>
      <c r="CK9" s="1">
        <v>0.28799999999999998</v>
      </c>
      <c r="CL9">
        <f t="shared" si="43"/>
        <v>9.2999999999999972E-2</v>
      </c>
      <c r="CM9" s="1">
        <v>0.32500000000000001</v>
      </c>
      <c r="CN9">
        <f t="shared" si="44"/>
        <v>0.11800000000000002</v>
      </c>
      <c r="CO9" s="1">
        <v>0.28399999999999997</v>
      </c>
      <c r="CP9">
        <f t="shared" si="45"/>
        <v>6.6999999999999976E-2</v>
      </c>
      <c r="CQ9" s="1">
        <v>0.28299999999999997</v>
      </c>
      <c r="CR9">
        <f t="shared" si="46"/>
        <v>8.3999999999999964E-2</v>
      </c>
      <c r="CS9" s="1">
        <v>0.318</v>
      </c>
      <c r="CT9">
        <f t="shared" si="47"/>
        <v>0.11799999999999999</v>
      </c>
      <c r="CU9" s="1">
        <v>0.30299999999999999</v>
      </c>
      <c r="CV9">
        <f t="shared" si="48"/>
        <v>8.299999999999999E-2</v>
      </c>
      <c r="CW9" s="1">
        <v>0.29299999999999998</v>
      </c>
      <c r="CX9">
        <f t="shared" si="49"/>
        <v>8.6999999999999994E-2</v>
      </c>
      <c r="CY9" s="1">
        <v>0.33100000000000002</v>
      </c>
      <c r="CZ9">
        <f t="shared" si="50"/>
        <v>0.12300000000000003</v>
      </c>
      <c r="DA9">
        <v>0.307</v>
      </c>
      <c r="DB9">
        <f t="shared" si="51"/>
        <v>9.0999999999999998E-2</v>
      </c>
      <c r="DC9">
        <v>0.28999999999999998</v>
      </c>
      <c r="DD9">
        <f t="shared" si="52"/>
        <v>8.6999999999999966E-2</v>
      </c>
      <c r="DE9">
        <v>0.33300000000000002</v>
      </c>
      <c r="DF9">
        <f t="shared" si="53"/>
        <v>0.12800000000000003</v>
      </c>
    </row>
    <row r="10" spans="1:110">
      <c r="A10" t="s">
        <v>71</v>
      </c>
      <c r="B10" t="s">
        <v>72</v>
      </c>
      <c r="C10" s="1">
        <v>0.122</v>
      </c>
      <c r="D10" s="1">
        <f t="shared" si="0"/>
        <v>-2.0000000000000018E-3</v>
      </c>
      <c r="E10" s="1">
        <v>0.127</v>
      </c>
      <c r="F10">
        <f t="shared" si="1"/>
        <v>9.000000000000008E-3</v>
      </c>
      <c r="G10" s="1">
        <v>0.122</v>
      </c>
      <c r="H10">
        <f t="shared" si="2"/>
        <v>-1.2000000000000011E-2</v>
      </c>
      <c r="I10" s="1">
        <v>0.18</v>
      </c>
      <c r="J10">
        <f t="shared" si="3"/>
        <v>8.0000000000000071E-3</v>
      </c>
      <c r="K10" s="1">
        <v>0.22600000000000001</v>
      </c>
      <c r="L10">
        <f t="shared" si="4"/>
        <v>5.0000000000000017E-2</v>
      </c>
      <c r="M10" s="1">
        <v>0.22500000000000001</v>
      </c>
      <c r="N10">
        <f t="shared" si="5"/>
        <v>5.7999999999999996E-2</v>
      </c>
      <c r="O10" s="1">
        <v>0.20899999999999999</v>
      </c>
      <c r="P10">
        <f t="shared" si="6"/>
        <v>4.1999999999999982E-2</v>
      </c>
      <c r="Q10" s="1">
        <v>0.24399999999999999</v>
      </c>
      <c r="R10">
        <f t="shared" si="7"/>
        <v>7.2999999999999982E-2</v>
      </c>
      <c r="S10" s="1">
        <v>0.23699999999999999</v>
      </c>
      <c r="T10">
        <f t="shared" si="8"/>
        <v>4.0999999999999981E-2</v>
      </c>
      <c r="U10" s="1">
        <v>0.25600000000000001</v>
      </c>
      <c r="V10">
        <f t="shared" si="9"/>
        <v>6.6000000000000003E-2</v>
      </c>
      <c r="W10" s="1">
        <v>0.24099999999999999</v>
      </c>
      <c r="X10">
        <f t="shared" si="10"/>
        <v>5.6999999999999995E-2</v>
      </c>
      <c r="Y10" s="1">
        <v>0.19</v>
      </c>
      <c r="Z10">
        <f t="shared" si="11"/>
        <v>-3.7000000000000005E-2</v>
      </c>
      <c r="AA10" s="1">
        <v>0.249</v>
      </c>
      <c r="AB10">
        <f t="shared" si="12"/>
        <v>5.6999999999999995E-2</v>
      </c>
      <c r="AC10" s="1">
        <v>0.22800000000000001</v>
      </c>
      <c r="AD10">
        <f t="shared" si="13"/>
        <v>5.3000000000000019E-2</v>
      </c>
      <c r="AE10" s="1">
        <v>0.17799999999999999</v>
      </c>
      <c r="AF10">
        <f t="shared" si="14"/>
        <v>-3.8000000000000006E-2</v>
      </c>
      <c r="AG10">
        <v>0.21199999999999999</v>
      </c>
      <c r="AH10">
        <f t="shared" si="15"/>
        <v>4.7999999999999987E-2</v>
      </c>
      <c r="AI10">
        <v>0.20300000000000001</v>
      </c>
      <c r="AJ10">
        <f t="shared" si="16"/>
        <v>2.7000000000000024E-2</v>
      </c>
      <c r="AK10">
        <v>0.183</v>
      </c>
      <c r="AL10">
        <f t="shared" si="17"/>
        <v>-2.0000000000000018E-2</v>
      </c>
      <c r="AM10" s="1">
        <v>0.11600000000000001</v>
      </c>
      <c r="AN10" s="2">
        <f t="shared" si="18"/>
        <v>5.0000000000000044E-3</v>
      </c>
      <c r="AO10" s="1">
        <v>0.11899999999999999</v>
      </c>
      <c r="AP10" s="2">
        <f t="shared" si="19"/>
        <v>9.999999999999995E-3</v>
      </c>
      <c r="AQ10" s="1">
        <v>0.128</v>
      </c>
      <c r="AR10" s="2">
        <f t="shared" si="20"/>
        <v>1.6E-2</v>
      </c>
      <c r="AS10" s="1">
        <v>0.23799999999999999</v>
      </c>
      <c r="AT10" s="2">
        <f t="shared" si="21"/>
        <v>4.1999999999999982E-2</v>
      </c>
      <c r="AU10" s="1">
        <v>0.22800000000000001</v>
      </c>
      <c r="AV10" s="2">
        <f t="shared" si="22"/>
        <v>0.03</v>
      </c>
      <c r="AW10" s="1">
        <v>0.23699999999999999</v>
      </c>
      <c r="AX10" s="2">
        <f t="shared" si="23"/>
        <v>3.1E-2</v>
      </c>
      <c r="AY10" s="1">
        <v>0.253</v>
      </c>
      <c r="AZ10">
        <f t="shared" si="24"/>
        <v>4.4000000000000011E-2</v>
      </c>
      <c r="BA10" s="1">
        <v>0.245</v>
      </c>
      <c r="BB10">
        <f t="shared" si="25"/>
        <v>3.9000000000000007E-2</v>
      </c>
      <c r="BC10" s="1">
        <v>0.254</v>
      </c>
      <c r="BD10">
        <f t="shared" si="26"/>
        <v>4.0000000000000008E-2</v>
      </c>
      <c r="BE10" s="1">
        <v>0.24299999999999999</v>
      </c>
      <c r="BF10">
        <f t="shared" si="27"/>
        <v>2.5999999999999995E-2</v>
      </c>
      <c r="BG10" s="1">
        <v>0.23</v>
      </c>
      <c r="BH10">
        <f t="shared" si="28"/>
        <v>2.5000000000000022E-2</v>
      </c>
      <c r="BI10" s="1">
        <v>0.246</v>
      </c>
      <c r="BJ10">
        <f t="shared" si="29"/>
        <v>4.0000000000000008E-2</v>
      </c>
      <c r="BK10" s="1">
        <v>0.246</v>
      </c>
      <c r="BL10">
        <f t="shared" si="30"/>
        <v>2.6999999999999996E-2</v>
      </c>
      <c r="BM10" s="1">
        <v>0.23200000000000001</v>
      </c>
      <c r="BN10">
        <f t="shared" si="31"/>
        <v>1.6000000000000014E-2</v>
      </c>
      <c r="BO10" s="1">
        <v>0.248</v>
      </c>
      <c r="BP10">
        <f t="shared" si="32"/>
        <v>2.6999999999999996E-2</v>
      </c>
      <c r="BQ10">
        <v>0.25</v>
      </c>
      <c r="BR10">
        <f t="shared" si="33"/>
        <v>3.1E-2</v>
      </c>
      <c r="BS10">
        <v>0.23</v>
      </c>
      <c r="BT10">
        <f t="shared" si="34"/>
        <v>2.7999999999999997E-2</v>
      </c>
      <c r="BU10">
        <v>0.26</v>
      </c>
      <c r="BV10">
        <f t="shared" si="35"/>
        <v>3.6000000000000004E-2</v>
      </c>
      <c r="BW10" s="1">
        <v>0.126</v>
      </c>
      <c r="BX10" s="2">
        <f t="shared" si="36"/>
        <v>-3.3000000000000002E-2</v>
      </c>
      <c r="BY10" s="1">
        <v>0.112</v>
      </c>
      <c r="BZ10" s="2">
        <f t="shared" si="37"/>
        <v>8.0000000000000071E-3</v>
      </c>
      <c r="CA10" s="1">
        <v>0.13500000000000001</v>
      </c>
      <c r="CB10" s="2">
        <f t="shared" si="38"/>
        <v>-0.35399999999999998</v>
      </c>
      <c r="CC10" s="1">
        <v>0.22</v>
      </c>
      <c r="CD10" s="2">
        <f t="shared" si="39"/>
        <v>5.0000000000000044E-3</v>
      </c>
      <c r="CE10" s="1">
        <v>0.216</v>
      </c>
      <c r="CF10" s="2">
        <f t="shared" si="40"/>
        <v>3.4000000000000002E-2</v>
      </c>
      <c r="CG10" s="1">
        <v>0.22800000000000001</v>
      </c>
      <c r="CH10" s="2">
        <f t="shared" si="41"/>
        <v>3.7000000000000005E-2</v>
      </c>
      <c r="CI10" s="1">
        <v>0.217</v>
      </c>
      <c r="CJ10">
        <f t="shared" si="42"/>
        <v>7.0000000000000062E-3</v>
      </c>
      <c r="CK10" s="1">
        <v>0.214</v>
      </c>
      <c r="CL10">
        <f t="shared" si="43"/>
        <v>1.8999999999999989E-2</v>
      </c>
      <c r="CM10" s="1">
        <v>0.23400000000000001</v>
      </c>
      <c r="CN10">
        <f t="shared" si="44"/>
        <v>2.7000000000000024E-2</v>
      </c>
      <c r="CO10" s="1">
        <v>0.22</v>
      </c>
      <c r="CP10">
        <f t="shared" si="45"/>
        <v>3.0000000000000027E-3</v>
      </c>
      <c r="CQ10" s="1">
        <v>0.20899999999999999</v>
      </c>
      <c r="CR10">
        <f t="shared" si="46"/>
        <v>9.9999999999999811E-3</v>
      </c>
      <c r="CS10" s="1">
        <v>0.224</v>
      </c>
      <c r="CT10">
        <f t="shared" si="47"/>
        <v>2.3999999999999994E-2</v>
      </c>
      <c r="CU10" s="1">
        <v>0.219</v>
      </c>
      <c r="CV10">
        <f t="shared" si="48"/>
        <v>-1.0000000000000009E-3</v>
      </c>
      <c r="CW10" s="1">
        <v>0.22500000000000001</v>
      </c>
      <c r="CX10">
        <f t="shared" si="49"/>
        <v>1.9000000000000017E-2</v>
      </c>
      <c r="CY10" s="1">
        <v>0.23400000000000001</v>
      </c>
      <c r="CZ10">
        <f t="shared" si="50"/>
        <v>2.6000000000000023E-2</v>
      </c>
      <c r="DA10">
        <v>0.217</v>
      </c>
      <c r="DB10">
        <f t="shared" si="51"/>
        <v>1.0000000000000009E-3</v>
      </c>
      <c r="DC10">
        <v>0.224</v>
      </c>
      <c r="DD10">
        <f t="shared" si="52"/>
        <v>2.0999999999999991E-2</v>
      </c>
      <c r="DE10">
        <v>0.23699999999999999</v>
      </c>
      <c r="DF10">
        <f t="shared" si="53"/>
        <v>3.2000000000000001E-2</v>
      </c>
    </row>
    <row r="11" spans="1:110">
      <c r="A11" t="s">
        <v>73</v>
      </c>
      <c r="B11" t="s">
        <v>74</v>
      </c>
      <c r="C11" s="1">
        <v>0.10199999999999999</v>
      </c>
      <c r="D11" s="1">
        <f t="shared" si="0"/>
        <v>-2.2000000000000006E-2</v>
      </c>
      <c r="E11" s="1">
        <v>0.107</v>
      </c>
      <c r="F11">
        <f t="shared" si="1"/>
        <v>-1.0999999999999996E-2</v>
      </c>
      <c r="G11" s="1">
        <v>0.10299999999999999</v>
      </c>
      <c r="H11">
        <f t="shared" si="2"/>
        <v>-3.1000000000000014E-2</v>
      </c>
      <c r="I11" s="1">
        <v>0.93600000000000005</v>
      </c>
      <c r="J11">
        <f t="shared" si="3"/>
        <v>0.76400000000000001</v>
      </c>
      <c r="K11" s="1">
        <v>0.98</v>
      </c>
      <c r="L11">
        <f t="shared" si="4"/>
        <v>0.80400000000000005</v>
      </c>
      <c r="M11" s="1">
        <v>0.91400000000000003</v>
      </c>
      <c r="N11">
        <f t="shared" si="5"/>
        <v>0.747</v>
      </c>
      <c r="O11" s="1">
        <v>1.2050000000000001</v>
      </c>
      <c r="P11">
        <f t="shared" si="6"/>
        <v>1.038</v>
      </c>
      <c r="Q11" s="1">
        <v>1.232</v>
      </c>
      <c r="R11">
        <f t="shared" si="7"/>
        <v>1.0609999999999999</v>
      </c>
      <c r="S11" s="1">
        <v>1.169</v>
      </c>
      <c r="T11">
        <f t="shared" si="8"/>
        <v>0.97300000000000009</v>
      </c>
      <c r="U11" s="1">
        <v>1.516</v>
      </c>
      <c r="V11">
        <f t="shared" si="9"/>
        <v>1.3260000000000001</v>
      </c>
      <c r="W11" s="1">
        <v>1.6</v>
      </c>
      <c r="X11">
        <f t="shared" si="10"/>
        <v>1.4160000000000001</v>
      </c>
      <c r="Y11" s="1">
        <v>1.454</v>
      </c>
      <c r="Z11">
        <f t="shared" si="11"/>
        <v>1.2269999999999999</v>
      </c>
      <c r="AA11" s="1">
        <v>1.6890000000000001</v>
      </c>
      <c r="AB11">
        <f t="shared" si="12"/>
        <v>1.4970000000000001</v>
      </c>
      <c r="AC11" s="1">
        <v>1.804</v>
      </c>
      <c r="AD11">
        <f t="shared" si="13"/>
        <v>1.629</v>
      </c>
      <c r="AE11" s="1">
        <v>1.73</v>
      </c>
      <c r="AF11">
        <f t="shared" si="14"/>
        <v>1.514</v>
      </c>
      <c r="AG11">
        <v>1.746</v>
      </c>
      <c r="AH11">
        <f t="shared" si="15"/>
        <v>1.5820000000000001</v>
      </c>
      <c r="AI11">
        <v>1.9159999999999999</v>
      </c>
      <c r="AJ11">
        <f t="shared" si="16"/>
        <v>1.74</v>
      </c>
      <c r="AK11">
        <v>1.8140000000000001</v>
      </c>
      <c r="AL11">
        <f t="shared" si="17"/>
        <v>1.611</v>
      </c>
      <c r="AM11" s="1">
        <v>0.106</v>
      </c>
      <c r="AN11" s="2">
        <f t="shared" si="18"/>
        <v>-5.0000000000000044E-3</v>
      </c>
      <c r="AO11" s="1">
        <v>0.106</v>
      </c>
      <c r="AP11" s="2">
        <f t="shared" si="19"/>
        <v>-3.0000000000000027E-3</v>
      </c>
      <c r="AQ11" s="1">
        <v>0.105</v>
      </c>
      <c r="AR11" s="2">
        <f t="shared" si="20"/>
        <v>-7.0000000000000062E-3</v>
      </c>
      <c r="AS11" s="1">
        <v>1.079</v>
      </c>
      <c r="AT11" s="2">
        <f t="shared" si="21"/>
        <v>0.88300000000000001</v>
      </c>
      <c r="AU11" s="1">
        <v>1.167</v>
      </c>
      <c r="AV11" s="2">
        <f t="shared" si="22"/>
        <v>0.96900000000000008</v>
      </c>
      <c r="AW11" s="1">
        <v>1.131</v>
      </c>
      <c r="AX11" s="2">
        <f t="shared" si="23"/>
        <v>0.92500000000000004</v>
      </c>
      <c r="AY11" s="1">
        <v>1.6040000000000001</v>
      </c>
      <c r="AZ11">
        <f t="shared" si="24"/>
        <v>1.395</v>
      </c>
      <c r="BA11" s="1">
        <v>1.64</v>
      </c>
      <c r="BB11">
        <f t="shared" si="25"/>
        <v>1.4339999999999999</v>
      </c>
      <c r="BC11" s="1">
        <v>1.6</v>
      </c>
      <c r="BD11">
        <f t="shared" si="26"/>
        <v>1.3860000000000001</v>
      </c>
      <c r="BE11" s="1">
        <v>1.6930000000000001</v>
      </c>
      <c r="BF11">
        <f t="shared" si="27"/>
        <v>1.476</v>
      </c>
      <c r="BG11" s="1">
        <v>1.7010000000000001</v>
      </c>
      <c r="BH11">
        <f t="shared" si="28"/>
        <v>1.496</v>
      </c>
      <c r="BI11" s="1">
        <v>1.6659999999999999</v>
      </c>
      <c r="BJ11">
        <f t="shared" si="29"/>
        <v>1.46</v>
      </c>
      <c r="BK11" s="1">
        <v>1.742</v>
      </c>
      <c r="BL11">
        <f t="shared" si="30"/>
        <v>1.5229999999999999</v>
      </c>
      <c r="BM11" s="1">
        <v>1.75</v>
      </c>
      <c r="BN11">
        <f t="shared" si="31"/>
        <v>1.534</v>
      </c>
      <c r="BO11" s="1">
        <v>1.698</v>
      </c>
      <c r="BP11">
        <f t="shared" si="32"/>
        <v>1.4769999999999999</v>
      </c>
      <c r="BQ11">
        <v>1.784</v>
      </c>
      <c r="BR11">
        <f t="shared" si="33"/>
        <v>1.5649999999999999</v>
      </c>
      <c r="BS11">
        <v>1.7689999999999999</v>
      </c>
      <c r="BT11">
        <f t="shared" si="34"/>
        <v>1.5669999999999999</v>
      </c>
      <c r="BU11">
        <v>1.722</v>
      </c>
      <c r="BV11">
        <f t="shared" si="35"/>
        <v>1.498</v>
      </c>
      <c r="BW11" s="1">
        <v>0.109</v>
      </c>
      <c r="BX11" s="2">
        <f t="shared" si="36"/>
        <v>-0.05</v>
      </c>
      <c r="BY11" s="1">
        <v>0.105</v>
      </c>
      <c r="BZ11" s="2">
        <f t="shared" si="37"/>
        <v>1.0000000000000009E-3</v>
      </c>
      <c r="CA11" s="1">
        <v>0.104</v>
      </c>
      <c r="CB11" s="2">
        <f t="shared" si="38"/>
        <v>-0.38500000000000001</v>
      </c>
      <c r="CC11" s="1">
        <v>1.024</v>
      </c>
      <c r="CD11" s="2">
        <f t="shared" si="39"/>
        <v>0.80900000000000005</v>
      </c>
      <c r="CE11" s="1">
        <v>1.002</v>
      </c>
      <c r="CF11" s="2">
        <f t="shared" si="40"/>
        <v>0.82000000000000006</v>
      </c>
      <c r="CG11" s="1">
        <v>0.96899999999999997</v>
      </c>
      <c r="CH11" s="2">
        <f t="shared" si="41"/>
        <v>0.77800000000000002</v>
      </c>
      <c r="CI11" s="1">
        <v>1.552</v>
      </c>
      <c r="CJ11">
        <f t="shared" si="42"/>
        <v>1.3420000000000001</v>
      </c>
      <c r="CK11" s="1">
        <v>1.5620000000000001</v>
      </c>
      <c r="CL11">
        <f t="shared" si="43"/>
        <v>1.367</v>
      </c>
      <c r="CM11" s="1">
        <v>1.51</v>
      </c>
      <c r="CN11">
        <f t="shared" si="44"/>
        <v>1.3029999999999999</v>
      </c>
      <c r="CO11" s="1">
        <v>1.677</v>
      </c>
      <c r="CP11">
        <f t="shared" si="45"/>
        <v>1.46</v>
      </c>
      <c r="CQ11" s="1">
        <v>1.6639999999999999</v>
      </c>
      <c r="CR11">
        <f t="shared" si="46"/>
        <v>1.4649999999999999</v>
      </c>
      <c r="CS11" s="1">
        <v>1.649</v>
      </c>
      <c r="CT11">
        <f t="shared" si="47"/>
        <v>1.4490000000000001</v>
      </c>
      <c r="CU11" s="1">
        <v>1.7030000000000001</v>
      </c>
      <c r="CV11">
        <f t="shared" si="48"/>
        <v>1.4830000000000001</v>
      </c>
      <c r="CW11" s="1">
        <v>1.6890000000000001</v>
      </c>
      <c r="CX11">
        <f t="shared" si="49"/>
        <v>1.4830000000000001</v>
      </c>
      <c r="CY11" s="1">
        <v>1.6970000000000001</v>
      </c>
      <c r="CZ11">
        <f t="shared" si="50"/>
        <v>1.4890000000000001</v>
      </c>
      <c r="DA11">
        <v>1.752</v>
      </c>
      <c r="DB11">
        <f t="shared" si="51"/>
        <v>1.536</v>
      </c>
      <c r="DC11">
        <v>1.738</v>
      </c>
      <c r="DD11">
        <f t="shared" si="52"/>
        <v>1.5349999999999999</v>
      </c>
      <c r="DE11">
        <v>1.766</v>
      </c>
      <c r="DF11">
        <f t="shared" si="53"/>
        <v>1.5609999999999999</v>
      </c>
    </row>
    <row r="12" spans="1:110">
      <c r="A12" t="s">
        <v>75</v>
      </c>
      <c r="B12" t="s">
        <v>76</v>
      </c>
      <c r="C12" s="1">
        <v>0.10100000000000001</v>
      </c>
      <c r="D12" s="1">
        <f t="shared" si="0"/>
        <v>-2.2999999999999993E-2</v>
      </c>
      <c r="E12" s="1">
        <v>0.104</v>
      </c>
      <c r="F12">
        <f t="shared" si="1"/>
        <v>-1.3999999999999999E-2</v>
      </c>
      <c r="G12" s="1">
        <v>0.10100000000000001</v>
      </c>
      <c r="H12">
        <f t="shared" si="2"/>
        <v>-3.3000000000000002E-2</v>
      </c>
      <c r="I12" s="1">
        <v>0.14299999999999999</v>
      </c>
      <c r="J12">
        <f t="shared" si="3"/>
        <v>-2.8999999999999998E-2</v>
      </c>
      <c r="K12" s="1">
        <v>0.157</v>
      </c>
      <c r="L12">
        <f t="shared" si="4"/>
        <v>-1.8999999999999989E-2</v>
      </c>
      <c r="M12" s="1">
        <v>0.13800000000000001</v>
      </c>
      <c r="N12">
        <f t="shared" si="5"/>
        <v>-2.8999999999999998E-2</v>
      </c>
      <c r="O12" s="1">
        <v>0.26900000000000002</v>
      </c>
      <c r="P12">
        <f t="shared" si="6"/>
        <v>0.10200000000000001</v>
      </c>
      <c r="Q12" s="1">
        <v>0.29899999999999999</v>
      </c>
      <c r="R12">
        <f t="shared" si="7"/>
        <v>0.12799999999999997</v>
      </c>
      <c r="S12" s="1">
        <v>0.2</v>
      </c>
      <c r="T12">
        <f t="shared" si="8"/>
        <v>4.0000000000000036E-3</v>
      </c>
      <c r="U12" s="1">
        <v>0.46800000000000003</v>
      </c>
      <c r="V12">
        <f t="shared" si="9"/>
        <v>0.27800000000000002</v>
      </c>
      <c r="W12" s="1">
        <v>0.64200000000000002</v>
      </c>
      <c r="X12">
        <f t="shared" si="10"/>
        <v>0.45800000000000002</v>
      </c>
      <c r="Y12" s="1">
        <v>0.34100000000000003</v>
      </c>
      <c r="Z12">
        <f t="shared" si="11"/>
        <v>0.11400000000000002</v>
      </c>
      <c r="AA12" s="1">
        <v>0.86799999999999999</v>
      </c>
      <c r="AB12">
        <f t="shared" si="12"/>
        <v>0.67599999999999993</v>
      </c>
      <c r="AC12" s="1">
        <v>0.98799999999999999</v>
      </c>
      <c r="AD12">
        <f t="shared" si="13"/>
        <v>0.81299999999999994</v>
      </c>
      <c r="AE12" s="1">
        <v>0.79300000000000004</v>
      </c>
      <c r="AF12">
        <f t="shared" si="14"/>
        <v>0.57700000000000007</v>
      </c>
      <c r="AG12">
        <v>1.1220000000000001</v>
      </c>
      <c r="AH12">
        <f t="shared" si="15"/>
        <v>0.95800000000000007</v>
      </c>
      <c r="AI12">
        <v>1.1679999999999999</v>
      </c>
      <c r="AJ12">
        <f t="shared" si="16"/>
        <v>0.99199999999999999</v>
      </c>
      <c r="AK12">
        <v>1.095</v>
      </c>
      <c r="AL12">
        <f t="shared" si="17"/>
        <v>0.8919999999999999</v>
      </c>
      <c r="AM12" s="1">
        <v>0.105</v>
      </c>
      <c r="AN12" s="2">
        <f t="shared" si="18"/>
        <v>-6.0000000000000053E-3</v>
      </c>
      <c r="AO12" s="1">
        <v>0.106</v>
      </c>
      <c r="AP12" s="2">
        <f t="shared" si="19"/>
        <v>-3.0000000000000027E-3</v>
      </c>
      <c r="AQ12" s="1">
        <v>0.104</v>
      </c>
      <c r="AR12" s="2">
        <f t="shared" si="20"/>
        <v>-8.0000000000000071E-3</v>
      </c>
      <c r="AS12" s="1">
        <v>0.17499999999999999</v>
      </c>
      <c r="AT12" s="2">
        <f t="shared" si="21"/>
        <v>-2.1000000000000019E-2</v>
      </c>
      <c r="AU12" s="1">
        <v>0.19700000000000001</v>
      </c>
      <c r="AV12" s="2">
        <f t="shared" si="22"/>
        <v>-1.0000000000000009E-3</v>
      </c>
      <c r="AW12" s="1">
        <v>0.183</v>
      </c>
      <c r="AX12" s="2">
        <f t="shared" si="23"/>
        <v>-2.2999999999999993E-2</v>
      </c>
      <c r="AY12" s="1">
        <v>0.21199999999999999</v>
      </c>
      <c r="AZ12">
        <f t="shared" si="24"/>
        <v>3.0000000000000027E-3</v>
      </c>
      <c r="BA12" s="1">
        <v>0.22600000000000001</v>
      </c>
      <c r="BB12">
        <f t="shared" si="25"/>
        <v>2.0000000000000018E-2</v>
      </c>
      <c r="BC12" s="1">
        <v>0.20499999999999999</v>
      </c>
      <c r="BD12">
        <f t="shared" si="26"/>
        <v>-9.000000000000008E-3</v>
      </c>
      <c r="BE12" s="1">
        <v>0.21</v>
      </c>
      <c r="BF12">
        <f t="shared" si="27"/>
        <v>-7.0000000000000062E-3</v>
      </c>
      <c r="BG12" s="1">
        <v>0.44500000000000001</v>
      </c>
      <c r="BH12">
        <f t="shared" si="28"/>
        <v>0.24000000000000002</v>
      </c>
      <c r="BI12" s="1">
        <v>0.193</v>
      </c>
      <c r="BJ12">
        <f t="shared" si="29"/>
        <v>-1.2999999999999984E-2</v>
      </c>
      <c r="BK12" s="1">
        <v>0.22800000000000001</v>
      </c>
      <c r="BL12">
        <f t="shared" si="30"/>
        <v>9.000000000000008E-3</v>
      </c>
      <c r="BM12" s="1">
        <v>0.93400000000000005</v>
      </c>
      <c r="BN12">
        <f t="shared" si="31"/>
        <v>0.71800000000000008</v>
      </c>
      <c r="BO12" s="1">
        <v>0.20499999999999999</v>
      </c>
      <c r="BP12">
        <f t="shared" si="32"/>
        <v>-1.6000000000000014E-2</v>
      </c>
      <c r="BQ12">
        <v>0.253</v>
      </c>
      <c r="BR12">
        <f t="shared" si="33"/>
        <v>3.4000000000000002E-2</v>
      </c>
      <c r="BS12">
        <v>1.2470000000000001</v>
      </c>
      <c r="BT12">
        <f t="shared" si="34"/>
        <v>1.0450000000000002</v>
      </c>
      <c r="BU12">
        <v>0.58899999999999997</v>
      </c>
      <c r="BV12">
        <f t="shared" si="35"/>
        <v>0.36499999999999999</v>
      </c>
      <c r="BW12" s="1">
        <v>0.106</v>
      </c>
      <c r="BX12" s="2">
        <f t="shared" si="36"/>
        <v>-5.3000000000000005E-2</v>
      </c>
      <c r="BY12" s="1">
        <v>0.115</v>
      </c>
      <c r="BZ12" s="2">
        <f t="shared" si="37"/>
        <v>1.100000000000001E-2</v>
      </c>
      <c r="CA12" s="1">
        <v>0.108</v>
      </c>
      <c r="CB12" s="2">
        <f t="shared" si="38"/>
        <v>-0.38100000000000001</v>
      </c>
      <c r="CC12" s="1">
        <v>0.17399999999999999</v>
      </c>
      <c r="CD12" s="2">
        <f t="shared" si="39"/>
        <v>-4.1000000000000009E-2</v>
      </c>
      <c r="CE12" s="1">
        <v>0.17799999999999999</v>
      </c>
      <c r="CF12" s="2">
        <f t="shared" si="40"/>
        <v>-4.0000000000000036E-3</v>
      </c>
      <c r="CG12" s="1">
        <v>0.13800000000000001</v>
      </c>
      <c r="CH12" s="2">
        <f t="shared" si="41"/>
        <v>-5.2999999999999992E-2</v>
      </c>
      <c r="CI12" s="1">
        <v>0.20899999999999999</v>
      </c>
      <c r="CJ12">
        <f t="shared" si="42"/>
        <v>-1.0000000000000009E-3</v>
      </c>
      <c r="CK12" s="1">
        <v>0.19700000000000001</v>
      </c>
      <c r="CL12">
        <f t="shared" si="43"/>
        <v>2.0000000000000018E-3</v>
      </c>
      <c r="CM12" s="1">
        <v>0.154</v>
      </c>
      <c r="CN12">
        <f t="shared" si="44"/>
        <v>-5.2999999999999992E-2</v>
      </c>
      <c r="CO12" s="1">
        <v>0.33200000000000002</v>
      </c>
      <c r="CP12">
        <f t="shared" si="45"/>
        <v>0.11500000000000002</v>
      </c>
      <c r="CQ12" s="1">
        <v>0.20300000000000001</v>
      </c>
      <c r="CR12">
        <f t="shared" si="46"/>
        <v>4.0000000000000036E-3</v>
      </c>
      <c r="CS12" s="1">
        <v>0.151</v>
      </c>
      <c r="CT12">
        <f t="shared" si="47"/>
        <v>-4.9000000000000016E-2</v>
      </c>
      <c r="CU12" s="1">
        <v>0.84499999999999997</v>
      </c>
      <c r="CV12">
        <f t="shared" si="48"/>
        <v>0.625</v>
      </c>
      <c r="CW12" s="1">
        <v>0.28499999999999998</v>
      </c>
      <c r="CX12">
        <f t="shared" si="49"/>
        <v>7.8999999999999987E-2</v>
      </c>
      <c r="CY12" s="1">
        <v>0.14899999999999999</v>
      </c>
      <c r="CZ12">
        <f t="shared" si="50"/>
        <v>-5.8999999999999997E-2</v>
      </c>
      <c r="DA12">
        <v>1.139</v>
      </c>
      <c r="DB12">
        <f t="shared" si="51"/>
        <v>0.92300000000000004</v>
      </c>
      <c r="DC12">
        <v>0.85099999999999998</v>
      </c>
      <c r="DD12">
        <f t="shared" si="52"/>
        <v>0.64799999999999991</v>
      </c>
      <c r="DE12">
        <v>0.155</v>
      </c>
      <c r="DF12">
        <f t="shared" si="53"/>
        <v>-4.9999999999999989E-2</v>
      </c>
    </row>
    <row r="13" spans="1:110">
      <c r="A13" t="s">
        <v>77</v>
      </c>
      <c r="B13" t="s">
        <v>78</v>
      </c>
      <c r="C13" s="1">
        <v>0.10299999999999999</v>
      </c>
      <c r="D13" s="1">
        <f t="shared" si="0"/>
        <v>-2.1000000000000005E-2</v>
      </c>
      <c r="E13" s="1">
        <v>0.13500000000000001</v>
      </c>
      <c r="F13">
        <f t="shared" si="1"/>
        <v>1.7000000000000015E-2</v>
      </c>
      <c r="G13" s="1">
        <v>0.124</v>
      </c>
      <c r="H13">
        <f t="shared" si="2"/>
        <v>-1.0000000000000009E-2</v>
      </c>
      <c r="I13" s="1">
        <v>0.159</v>
      </c>
      <c r="J13">
        <f t="shared" si="3"/>
        <v>-1.2999999999999984E-2</v>
      </c>
      <c r="K13" s="1">
        <v>0.21099999999999999</v>
      </c>
      <c r="L13">
        <f t="shared" si="4"/>
        <v>3.5000000000000003E-2</v>
      </c>
      <c r="M13" s="1">
        <v>0.20399999999999999</v>
      </c>
      <c r="N13">
        <f t="shared" si="5"/>
        <v>3.6999999999999977E-2</v>
      </c>
      <c r="O13" s="1">
        <v>0.153</v>
      </c>
      <c r="P13">
        <f t="shared" si="6"/>
        <v>-1.4000000000000012E-2</v>
      </c>
      <c r="Q13" s="1">
        <v>0.215</v>
      </c>
      <c r="R13">
        <f t="shared" si="7"/>
        <v>4.3999999999999984E-2</v>
      </c>
      <c r="S13" s="1">
        <v>0.22600000000000001</v>
      </c>
      <c r="T13">
        <f t="shared" si="8"/>
        <v>0.03</v>
      </c>
      <c r="U13" s="1">
        <v>0.17299999999999999</v>
      </c>
      <c r="V13">
        <f t="shared" si="9"/>
        <v>-1.7000000000000015E-2</v>
      </c>
      <c r="W13" s="1">
        <v>0.221</v>
      </c>
      <c r="X13">
        <f t="shared" si="10"/>
        <v>3.7000000000000005E-2</v>
      </c>
      <c r="Y13" s="1">
        <v>0.215</v>
      </c>
      <c r="Z13">
        <f t="shared" si="11"/>
        <v>-1.2000000000000011E-2</v>
      </c>
      <c r="AA13" s="1">
        <v>0.182</v>
      </c>
      <c r="AB13">
        <f t="shared" si="12"/>
        <v>-1.0000000000000009E-2</v>
      </c>
      <c r="AC13" s="1">
        <v>0.20200000000000001</v>
      </c>
      <c r="AD13">
        <f t="shared" si="13"/>
        <v>2.7000000000000024E-2</v>
      </c>
      <c r="AE13" s="1">
        <v>0.183</v>
      </c>
      <c r="AF13">
        <f t="shared" si="14"/>
        <v>-3.3000000000000002E-2</v>
      </c>
      <c r="AG13">
        <v>0.16200000000000001</v>
      </c>
      <c r="AH13">
        <f t="shared" si="15"/>
        <v>-2.0000000000000018E-3</v>
      </c>
      <c r="AI13">
        <v>0.188</v>
      </c>
      <c r="AJ13">
        <f t="shared" si="16"/>
        <v>1.2000000000000011E-2</v>
      </c>
      <c r="AK13">
        <v>0.17599999999999999</v>
      </c>
      <c r="AL13">
        <f t="shared" si="17"/>
        <v>-2.7000000000000024E-2</v>
      </c>
      <c r="AM13" s="1">
        <v>0.113</v>
      </c>
      <c r="AN13" s="2">
        <f t="shared" si="18"/>
        <v>2.0000000000000018E-3</v>
      </c>
      <c r="AO13" s="1">
        <v>0.109</v>
      </c>
      <c r="AP13" s="2">
        <f t="shared" si="19"/>
        <v>0</v>
      </c>
      <c r="AQ13" s="1">
        <v>0.14000000000000001</v>
      </c>
      <c r="AR13" s="2">
        <f t="shared" si="20"/>
        <v>2.8000000000000011E-2</v>
      </c>
      <c r="AS13" s="1">
        <v>0.221</v>
      </c>
      <c r="AT13" s="2">
        <f t="shared" si="21"/>
        <v>2.4999999999999994E-2</v>
      </c>
      <c r="AU13" s="1">
        <v>0.20599999999999999</v>
      </c>
      <c r="AV13" s="2">
        <f t="shared" si="22"/>
        <v>7.9999999999999793E-3</v>
      </c>
      <c r="AW13" s="1">
        <v>0.23300000000000001</v>
      </c>
      <c r="AX13" s="2">
        <f t="shared" si="23"/>
        <v>2.7000000000000024E-2</v>
      </c>
      <c r="AY13" s="1">
        <v>0.23</v>
      </c>
      <c r="AZ13">
        <f t="shared" si="24"/>
        <v>2.1000000000000019E-2</v>
      </c>
      <c r="BA13" s="1">
        <v>0.21</v>
      </c>
      <c r="BB13">
        <f t="shared" si="25"/>
        <v>4.0000000000000036E-3</v>
      </c>
      <c r="BC13" s="1">
        <v>0.23799999999999999</v>
      </c>
      <c r="BD13">
        <f t="shared" si="26"/>
        <v>2.3999999999999994E-2</v>
      </c>
      <c r="BE13" s="1">
        <v>0.23799999999999999</v>
      </c>
      <c r="BF13">
        <f t="shared" si="27"/>
        <v>2.0999999999999991E-2</v>
      </c>
      <c r="BG13" s="1">
        <v>0.21199999999999999</v>
      </c>
      <c r="BH13">
        <f t="shared" si="28"/>
        <v>7.0000000000000062E-3</v>
      </c>
      <c r="BI13" s="1">
        <v>0.23599999999999999</v>
      </c>
      <c r="BJ13">
        <f t="shared" si="29"/>
        <v>0.03</v>
      </c>
      <c r="BK13" s="1">
        <v>0.23699999999999999</v>
      </c>
      <c r="BL13">
        <f t="shared" si="30"/>
        <v>1.7999999999999988E-2</v>
      </c>
      <c r="BM13" s="1">
        <v>0.22</v>
      </c>
      <c r="BN13">
        <f t="shared" si="31"/>
        <v>4.0000000000000036E-3</v>
      </c>
      <c r="BO13" s="1">
        <v>0.246</v>
      </c>
      <c r="BP13">
        <f t="shared" si="32"/>
        <v>2.4999999999999994E-2</v>
      </c>
      <c r="BQ13">
        <v>0.23499999999999999</v>
      </c>
      <c r="BR13">
        <f t="shared" si="33"/>
        <v>1.5999999999999986E-2</v>
      </c>
      <c r="BS13">
        <v>0.22</v>
      </c>
      <c r="BT13">
        <f t="shared" si="34"/>
        <v>1.7999999999999988E-2</v>
      </c>
      <c r="BU13">
        <v>0.253</v>
      </c>
      <c r="BV13">
        <f t="shared" si="35"/>
        <v>2.8999999999999998E-2</v>
      </c>
      <c r="BW13" s="1">
        <v>0.128</v>
      </c>
      <c r="BX13" s="2">
        <f t="shared" si="36"/>
        <v>-3.1E-2</v>
      </c>
      <c r="BY13" s="1">
        <v>0.113</v>
      </c>
      <c r="BZ13" s="2">
        <f t="shared" si="37"/>
        <v>9.000000000000008E-3</v>
      </c>
      <c r="CA13" s="1">
        <v>0.12</v>
      </c>
      <c r="CB13" s="2">
        <f t="shared" si="38"/>
        <v>-0.36899999999999999</v>
      </c>
      <c r="CC13" s="1">
        <v>0.21</v>
      </c>
      <c r="CD13" s="2">
        <f t="shared" si="39"/>
        <v>-5.0000000000000044E-3</v>
      </c>
      <c r="CE13" s="1">
        <v>0.193</v>
      </c>
      <c r="CF13" s="2">
        <f t="shared" si="40"/>
        <v>1.100000000000001E-2</v>
      </c>
      <c r="CG13" s="1">
        <v>0.21299999999999999</v>
      </c>
      <c r="CH13" s="2">
        <f t="shared" si="41"/>
        <v>2.1999999999999992E-2</v>
      </c>
      <c r="CI13" s="1">
        <v>0.219</v>
      </c>
      <c r="CJ13">
        <f t="shared" si="42"/>
        <v>9.000000000000008E-3</v>
      </c>
      <c r="CK13" s="1">
        <v>0.2</v>
      </c>
      <c r="CL13">
        <f t="shared" si="43"/>
        <v>5.0000000000000044E-3</v>
      </c>
      <c r="CM13" s="1">
        <v>0.21099999999999999</v>
      </c>
      <c r="CN13">
        <f t="shared" si="44"/>
        <v>4.0000000000000036E-3</v>
      </c>
      <c r="CO13" s="1">
        <v>0.218</v>
      </c>
      <c r="CP13">
        <f t="shared" si="45"/>
        <v>1.0000000000000009E-3</v>
      </c>
      <c r="CQ13" s="1">
        <v>0.20300000000000001</v>
      </c>
      <c r="CR13">
        <f t="shared" si="46"/>
        <v>4.0000000000000036E-3</v>
      </c>
      <c r="CS13" s="1">
        <v>0.20599999999999999</v>
      </c>
      <c r="CT13">
        <f t="shared" si="47"/>
        <v>5.9999999999999776E-3</v>
      </c>
      <c r="CU13" s="1">
        <v>0.218</v>
      </c>
      <c r="CV13">
        <f t="shared" si="48"/>
        <v>-2.0000000000000018E-3</v>
      </c>
      <c r="CW13" s="1">
        <v>0.2</v>
      </c>
      <c r="CX13">
        <f t="shared" si="49"/>
        <v>-5.9999999999999776E-3</v>
      </c>
      <c r="CY13" s="1">
        <v>0.221</v>
      </c>
      <c r="CZ13">
        <f t="shared" si="50"/>
        <v>1.3000000000000012E-2</v>
      </c>
      <c r="DA13">
        <v>0.222</v>
      </c>
      <c r="DB13">
        <f t="shared" si="51"/>
        <v>6.0000000000000053E-3</v>
      </c>
      <c r="DC13">
        <v>0.19500000000000001</v>
      </c>
      <c r="DD13">
        <f t="shared" si="52"/>
        <v>-8.0000000000000071E-3</v>
      </c>
      <c r="DE13">
        <v>0.21099999999999999</v>
      </c>
      <c r="DF13">
        <f t="shared" si="53"/>
        <v>6.0000000000000053E-3</v>
      </c>
    </row>
    <row r="14" spans="1:110">
      <c r="A14" t="s">
        <v>79</v>
      </c>
      <c r="B14" t="s">
        <v>80</v>
      </c>
      <c r="C14" s="1">
        <v>0.11600000000000001</v>
      </c>
      <c r="D14" s="1">
        <f t="shared" si="0"/>
        <v>-7.9999999999999932E-3</v>
      </c>
      <c r="E14" s="1">
        <v>0.16400000000000001</v>
      </c>
      <c r="F14">
        <f t="shared" si="1"/>
        <v>4.6000000000000013E-2</v>
      </c>
      <c r="G14" s="1">
        <v>0.16400000000000001</v>
      </c>
      <c r="H14">
        <f t="shared" si="2"/>
        <v>0.03</v>
      </c>
      <c r="I14" s="1">
        <v>0.18099999999999999</v>
      </c>
      <c r="J14">
        <f t="shared" si="3"/>
        <v>9.000000000000008E-3</v>
      </c>
      <c r="K14" s="1">
        <v>0.19900000000000001</v>
      </c>
      <c r="L14">
        <f t="shared" si="4"/>
        <v>2.300000000000002E-2</v>
      </c>
      <c r="M14" s="1">
        <v>0.187</v>
      </c>
      <c r="N14">
        <f t="shared" si="5"/>
        <v>1.999999999999999E-2</v>
      </c>
      <c r="O14" s="1">
        <v>0.20200000000000001</v>
      </c>
      <c r="P14">
        <f t="shared" si="6"/>
        <v>3.5000000000000003E-2</v>
      </c>
      <c r="Q14" s="1">
        <v>0.186</v>
      </c>
      <c r="R14">
        <f t="shared" si="7"/>
        <v>1.4999999999999986E-2</v>
      </c>
      <c r="S14" s="1">
        <v>0.222</v>
      </c>
      <c r="T14">
        <f t="shared" si="8"/>
        <v>2.5999999999999995E-2</v>
      </c>
      <c r="U14" s="1">
        <v>0.218</v>
      </c>
      <c r="V14">
        <f t="shared" si="9"/>
        <v>2.7999999999999997E-2</v>
      </c>
      <c r="W14" s="1">
        <v>0.21299999999999999</v>
      </c>
      <c r="X14">
        <f t="shared" si="10"/>
        <v>2.8999999999999998E-2</v>
      </c>
      <c r="Y14" s="1">
        <v>0.17599999999999999</v>
      </c>
      <c r="Z14">
        <f t="shared" si="11"/>
        <v>-5.1000000000000018E-2</v>
      </c>
      <c r="AA14" s="1">
        <v>0.16200000000000001</v>
      </c>
      <c r="AB14">
        <f t="shared" si="12"/>
        <v>-0.03</v>
      </c>
      <c r="AC14" s="1">
        <v>0.21199999999999999</v>
      </c>
      <c r="AD14">
        <f t="shared" si="13"/>
        <v>3.7000000000000005E-2</v>
      </c>
      <c r="AE14" s="1">
        <v>0.17799999999999999</v>
      </c>
      <c r="AF14">
        <f t="shared" si="14"/>
        <v>-3.8000000000000006E-2</v>
      </c>
      <c r="AG14">
        <v>0.183</v>
      </c>
      <c r="AH14">
        <f t="shared" si="15"/>
        <v>1.8999999999999989E-2</v>
      </c>
      <c r="AI14">
        <v>0.21</v>
      </c>
      <c r="AJ14">
        <f t="shared" si="16"/>
        <v>3.4000000000000002E-2</v>
      </c>
      <c r="AK14">
        <v>0.17599999999999999</v>
      </c>
      <c r="AL14">
        <f t="shared" si="17"/>
        <v>-2.7000000000000024E-2</v>
      </c>
      <c r="AM14" s="1">
        <v>0.13800000000000001</v>
      </c>
      <c r="AN14" s="2">
        <f t="shared" si="18"/>
        <v>2.700000000000001E-2</v>
      </c>
      <c r="AO14" s="1">
        <v>0.14499999999999999</v>
      </c>
      <c r="AP14" s="2">
        <f t="shared" si="19"/>
        <v>3.599999999999999E-2</v>
      </c>
      <c r="AQ14" s="1">
        <v>0.23799999999999999</v>
      </c>
      <c r="AR14" s="2">
        <f t="shared" si="20"/>
        <v>0.126</v>
      </c>
      <c r="AS14" s="1">
        <v>0.20899999999999999</v>
      </c>
      <c r="AT14" s="2">
        <f t="shared" si="21"/>
        <v>1.2999999999999984E-2</v>
      </c>
      <c r="AU14" s="1">
        <v>0.19900000000000001</v>
      </c>
      <c r="AV14" s="2">
        <f t="shared" si="22"/>
        <v>1.0000000000000009E-3</v>
      </c>
      <c r="AW14" s="1">
        <v>0.255</v>
      </c>
      <c r="AX14" s="2">
        <f t="shared" si="23"/>
        <v>4.9000000000000016E-2</v>
      </c>
      <c r="AY14" s="1">
        <v>0.224</v>
      </c>
      <c r="AZ14">
        <f t="shared" si="24"/>
        <v>1.5000000000000013E-2</v>
      </c>
      <c r="BA14" s="1">
        <v>0.215</v>
      </c>
      <c r="BB14">
        <f t="shared" si="25"/>
        <v>9.000000000000008E-3</v>
      </c>
      <c r="BC14" s="1">
        <v>0.224</v>
      </c>
      <c r="BD14">
        <f t="shared" si="26"/>
        <v>1.0000000000000009E-2</v>
      </c>
      <c r="BE14" s="1">
        <v>0.22700000000000001</v>
      </c>
      <c r="BF14">
        <f t="shared" si="27"/>
        <v>1.0000000000000009E-2</v>
      </c>
      <c r="BG14" s="1">
        <v>0.214</v>
      </c>
      <c r="BH14">
        <f t="shared" si="28"/>
        <v>9.000000000000008E-3</v>
      </c>
      <c r="BI14" s="1">
        <v>0.23599999999999999</v>
      </c>
      <c r="BJ14">
        <f t="shared" si="29"/>
        <v>0.03</v>
      </c>
      <c r="BK14" s="1">
        <v>0.22</v>
      </c>
      <c r="BL14">
        <f t="shared" si="30"/>
        <v>1.0000000000000009E-3</v>
      </c>
      <c r="BM14" s="1">
        <v>0.20899999999999999</v>
      </c>
      <c r="BN14">
        <f t="shared" si="31"/>
        <v>-7.0000000000000062E-3</v>
      </c>
      <c r="BO14" s="1">
        <v>0.223</v>
      </c>
      <c r="BP14">
        <f t="shared" si="32"/>
        <v>2.0000000000000018E-3</v>
      </c>
      <c r="BQ14">
        <v>0.217</v>
      </c>
      <c r="BR14">
        <f t="shared" si="33"/>
        <v>-2.0000000000000018E-3</v>
      </c>
      <c r="BS14">
        <v>0.20799999999999999</v>
      </c>
      <c r="BT14">
        <f t="shared" si="34"/>
        <v>5.9999999999999776E-3</v>
      </c>
      <c r="BU14">
        <v>0.22800000000000001</v>
      </c>
      <c r="BV14">
        <f t="shared" si="35"/>
        <v>4.0000000000000036E-3</v>
      </c>
      <c r="BW14" s="1">
        <v>0.127</v>
      </c>
      <c r="BX14" s="2">
        <f t="shared" si="36"/>
        <v>-3.2000000000000001E-2</v>
      </c>
      <c r="BY14" s="1">
        <v>0.14899999999999999</v>
      </c>
      <c r="BZ14" s="2">
        <f t="shared" si="37"/>
        <v>4.4999999999999998E-2</v>
      </c>
      <c r="CA14" s="1">
        <v>0.20699999999999999</v>
      </c>
      <c r="CB14" s="2">
        <f t="shared" si="38"/>
        <v>-0.28200000000000003</v>
      </c>
      <c r="CC14" s="1">
        <v>0.20799999999999999</v>
      </c>
      <c r="CD14" s="2">
        <f t="shared" si="39"/>
        <v>-7.0000000000000062E-3</v>
      </c>
      <c r="CE14" s="1">
        <v>0.21099999999999999</v>
      </c>
      <c r="CF14" s="2">
        <f t="shared" si="40"/>
        <v>2.8999999999999998E-2</v>
      </c>
      <c r="CG14" s="1">
        <v>0.25700000000000001</v>
      </c>
      <c r="CH14" s="2">
        <f t="shared" si="41"/>
        <v>6.6000000000000003E-2</v>
      </c>
      <c r="CI14" s="1">
        <v>0.21299999999999999</v>
      </c>
      <c r="CJ14">
        <f t="shared" si="42"/>
        <v>3.0000000000000027E-3</v>
      </c>
      <c r="CK14" s="1">
        <v>0.20899999999999999</v>
      </c>
      <c r="CL14">
        <f t="shared" si="43"/>
        <v>1.3999999999999985E-2</v>
      </c>
      <c r="CM14" s="1">
        <v>0.216</v>
      </c>
      <c r="CN14">
        <f t="shared" si="44"/>
        <v>9.000000000000008E-3</v>
      </c>
      <c r="CO14" s="1">
        <v>0.217</v>
      </c>
      <c r="CP14">
        <f t="shared" si="45"/>
        <v>0</v>
      </c>
      <c r="CQ14" s="1">
        <v>0.20599999999999999</v>
      </c>
      <c r="CR14">
        <f t="shared" si="46"/>
        <v>6.9999999999999785E-3</v>
      </c>
      <c r="CS14" s="1">
        <v>0.221</v>
      </c>
      <c r="CT14">
        <f t="shared" si="47"/>
        <v>2.0999999999999991E-2</v>
      </c>
      <c r="CU14" s="1">
        <v>0.20799999999999999</v>
      </c>
      <c r="CV14">
        <f t="shared" si="48"/>
        <v>-1.2000000000000011E-2</v>
      </c>
      <c r="CW14" s="1">
        <v>0.20599999999999999</v>
      </c>
      <c r="CX14">
        <f t="shared" si="49"/>
        <v>0</v>
      </c>
      <c r="CY14" s="1">
        <v>0.218</v>
      </c>
      <c r="CZ14">
        <f t="shared" si="50"/>
        <v>1.0000000000000009E-2</v>
      </c>
      <c r="DA14">
        <v>0.20399999999999999</v>
      </c>
      <c r="DB14">
        <f t="shared" si="51"/>
        <v>-1.2000000000000011E-2</v>
      </c>
      <c r="DC14">
        <v>0.2</v>
      </c>
      <c r="DD14">
        <f t="shared" si="52"/>
        <v>-3.0000000000000027E-3</v>
      </c>
      <c r="DE14">
        <v>0.23</v>
      </c>
      <c r="DF14">
        <f t="shared" si="53"/>
        <v>2.5000000000000022E-2</v>
      </c>
    </row>
    <row r="15" spans="1:110">
      <c r="A15" t="s">
        <v>81</v>
      </c>
      <c r="B15" t="s">
        <v>82</v>
      </c>
      <c r="C15" s="1">
        <v>0.11600000000000001</v>
      </c>
      <c r="D15" s="1">
        <f t="shared" si="0"/>
        <v>-7.9999999999999932E-3</v>
      </c>
      <c r="E15" s="1">
        <v>0.13800000000000001</v>
      </c>
      <c r="F15">
        <f t="shared" si="1"/>
        <v>2.0000000000000018E-2</v>
      </c>
      <c r="G15" s="1">
        <v>0.13</v>
      </c>
      <c r="H15">
        <f t="shared" si="2"/>
        <v>-4.0000000000000036E-3</v>
      </c>
      <c r="I15" s="1">
        <v>0.155</v>
      </c>
      <c r="J15">
        <f t="shared" si="3"/>
        <v>-1.6999999999999987E-2</v>
      </c>
      <c r="K15" s="1">
        <v>0.26</v>
      </c>
      <c r="L15">
        <f t="shared" si="4"/>
        <v>8.4000000000000019E-2</v>
      </c>
      <c r="M15" s="1">
        <v>0.252</v>
      </c>
      <c r="N15">
        <f t="shared" si="5"/>
        <v>8.4999999999999992E-2</v>
      </c>
      <c r="O15" s="1">
        <v>0.14199999999999999</v>
      </c>
      <c r="P15">
        <f t="shared" si="6"/>
        <v>-2.5000000000000022E-2</v>
      </c>
      <c r="Q15" s="1">
        <v>0.28199999999999997</v>
      </c>
      <c r="R15">
        <f t="shared" si="7"/>
        <v>0.11099999999999996</v>
      </c>
      <c r="S15" s="1">
        <v>0.23300000000000001</v>
      </c>
      <c r="T15">
        <f t="shared" si="8"/>
        <v>3.7000000000000005E-2</v>
      </c>
      <c r="U15" s="1">
        <v>0.15</v>
      </c>
      <c r="V15">
        <f t="shared" si="9"/>
        <v>-4.0000000000000008E-2</v>
      </c>
      <c r="W15" s="1">
        <v>0.30399999999999999</v>
      </c>
      <c r="X15">
        <f t="shared" si="10"/>
        <v>0.12</v>
      </c>
      <c r="Y15" s="1">
        <v>0.20200000000000001</v>
      </c>
      <c r="Z15">
        <f t="shared" si="11"/>
        <v>-2.4999999999999994E-2</v>
      </c>
      <c r="AA15" s="1">
        <v>0.22800000000000001</v>
      </c>
      <c r="AB15">
        <f t="shared" si="12"/>
        <v>3.6000000000000004E-2</v>
      </c>
      <c r="AC15" s="1">
        <v>0.28100000000000003</v>
      </c>
      <c r="AD15">
        <f t="shared" si="13"/>
        <v>0.10600000000000004</v>
      </c>
      <c r="AE15" s="1">
        <v>0.217</v>
      </c>
      <c r="AF15">
        <f t="shared" si="14"/>
        <v>1.0000000000000009E-3</v>
      </c>
      <c r="AG15">
        <v>0.151</v>
      </c>
      <c r="AH15">
        <f t="shared" si="15"/>
        <v>-1.3000000000000012E-2</v>
      </c>
      <c r="AI15">
        <v>0.27300000000000002</v>
      </c>
      <c r="AJ15">
        <f t="shared" si="16"/>
        <v>9.7000000000000031E-2</v>
      </c>
      <c r="AK15">
        <v>0.20399999999999999</v>
      </c>
      <c r="AL15">
        <f t="shared" si="17"/>
        <v>9.9999999999997313E-4</v>
      </c>
      <c r="AM15" s="1">
        <v>0.11899999999999999</v>
      </c>
      <c r="AN15" s="2">
        <f t="shared" si="18"/>
        <v>7.9999999999999932E-3</v>
      </c>
      <c r="AO15" s="1">
        <v>0.129</v>
      </c>
      <c r="AP15" s="2">
        <f t="shared" si="19"/>
        <v>2.0000000000000004E-2</v>
      </c>
      <c r="AQ15" s="1">
        <v>0.184</v>
      </c>
      <c r="AR15" s="2">
        <f t="shared" si="20"/>
        <v>7.1999999999999995E-2</v>
      </c>
      <c r="AS15" s="1">
        <v>0.28899999999999998</v>
      </c>
      <c r="AT15" s="2">
        <f t="shared" si="21"/>
        <v>9.2999999999999972E-2</v>
      </c>
      <c r="AU15" s="1">
        <v>0.23</v>
      </c>
      <c r="AV15" s="2">
        <f t="shared" si="22"/>
        <v>3.2000000000000001E-2</v>
      </c>
      <c r="AW15" s="1">
        <v>0.3</v>
      </c>
      <c r="AX15" s="2">
        <f t="shared" si="23"/>
        <v>9.4E-2</v>
      </c>
      <c r="AY15" s="1">
        <v>0.29699999999999999</v>
      </c>
      <c r="AZ15">
        <f t="shared" si="24"/>
        <v>8.7999999999999995E-2</v>
      </c>
      <c r="BA15" s="1">
        <v>0.251</v>
      </c>
      <c r="BB15">
        <f t="shared" si="25"/>
        <v>4.5000000000000012E-2</v>
      </c>
      <c r="BC15" s="1">
        <v>0.26400000000000001</v>
      </c>
      <c r="BD15">
        <f t="shared" si="26"/>
        <v>5.0000000000000017E-2</v>
      </c>
      <c r="BE15" s="1">
        <v>0.29599999999999999</v>
      </c>
      <c r="BF15">
        <f t="shared" si="27"/>
        <v>7.8999999999999987E-2</v>
      </c>
      <c r="BG15" s="1">
        <v>0.248</v>
      </c>
      <c r="BH15">
        <f t="shared" si="28"/>
        <v>4.300000000000001E-2</v>
      </c>
      <c r="BI15" s="1">
        <v>0.28399999999999997</v>
      </c>
      <c r="BJ15">
        <f t="shared" si="29"/>
        <v>7.7999999999999986E-2</v>
      </c>
      <c r="BK15" s="1">
        <v>0.29299999999999998</v>
      </c>
      <c r="BL15">
        <f t="shared" si="30"/>
        <v>7.3999999999999982E-2</v>
      </c>
      <c r="BM15" s="1">
        <v>0.24299999999999999</v>
      </c>
      <c r="BN15">
        <f t="shared" si="31"/>
        <v>2.6999999999999996E-2</v>
      </c>
      <c r="BO15" s="1">
        <v>0.26900000000000002</v>
      </c>
      <c r="BP15">
        <f t="shared" si="32"/>
        <v>4.8000000000000015E-2</v>
      </c>
      <c r="BQ15">
        <v>0.29199999999999998</v>
      </c>
      <c r="BR15">
        <f t="shared" si="33"/>
        <v>7.2999999999999982E-2</v>
      </c>
      <c r="BS15">
        <v>0.24299999999999999</v>
      </c>
      <c r="BT15">
        <f t="shared" si="34"/>
        <v>4.0999999999999981E-2</v>
      </c>
      <c r="BU15">
        <v>0.29099999999999998</v>
      </c>
      <c r="BV15">
        <f t="shared" si="35"/>
        <v>6.6999999999999976E-2</v>
      </c>
      <c r="BW15" s="1">
        <v>0.11600000000000001</v>
      </c>
      <c r="BX15" s="2">
        <f t="shared" si="36"/>
        <v>-4.2999999999999997E-2</v>
      </c>
      <c r="BY15" s="1">
        <v>0.111</v>
      </c>
      <c r="BZ15" s="2">
        <f t="shared" si="37"/>
        <v>7.0000000000000062E-3</v>
      </c>
      <c r="CA15" s="1">
        <v>0.191</v>
      </c>
      <c r="CB15" s="2">
        <f t="shared" si="38"/>
        <v>-0.29799999999999999</v>
      </c>
      <c r="CC15" s="1">
        <v>0.22900000000000001</v>
      </c>
      <c r="CD15" s="2">
        <f t="shared" si="39"/>
        <v>1.4000000000000012E-2</v>
      </c>
      <c r="CE15" s="1">
        <v>0.216</v>
      </c>
      <c r="CF15" s="2">
        <f t="shared" si="40"/>
        <v>3.4000000000000002E-2</v>
      </c>
      <c r="CG15" s="1">
        <v>0.28899999999999998</v>
      </c>
      <c r="CH15" s="2">
        <f t="shared" si="41"/>
        <v>9.7999999999999976E-2</v>
      </c>
      <c r="CI15" s="1">
        <v>0.23400000000000001</v>
      </c>
      <c r="CJ15">
        <f t="shared" si="42"/>
        <v>2.4000000000000021E-2</v>
      </c>
      <c r="CK15" s="1">
        <v>0.21299999999999999</v>
      </c>
      <c r="CL15">
        <f t="shared" si="43"/>
        <v>1.7999999999999988E-2</v>
      </c>
      <c r="CM15" s="1">
        <v>0.248</v>
      </c>
      <c r="CN15">
        <f t="shared" si="44"/>
        <v>4.1000000000000009E-2</v>
      </c>
      <c r="CO15" s="1">
        <v>0.22900000000000001</v>
      </c>
      <c r="CP15">
        <f t="shared" si="45"/>
        <v>1.2000000000000011E-2</v>
      </c>
      <c r="CQ15" s="1">
        <v>0.215</v>
      </c>
      <c r="CR15">
        <f t="shared" si="46"/>
        <v>1.5999999999999986E-2</v>
      </c>
      <c r="CS15" s="1">
        <v>0.255</v>
      </c>
      <c r="CT15">
        <f t="shared" si="47"/>
        <v>5.4999999999999993E-2</v>
      </c>
      <c r="CU15" s="1">
        <v>0.223</v>
      </c>
      <c r="CV15">
        <f t="shared" si="48"/>
        <v>3.0000000000000027E-3</v>
      </c>
      <c r="CW15" s="1">
        <v>0.21199999999999999</v>
      </c>
      <c r="CX15">
        <f t="shared" si="49"/>
        <v>6.0000000000000053E-3</v>
      </c>
      <c r="CY15" s="1">
        <v>0.247</v>
      </c>
      <c r="CZ15">
        <f t="shared" si="50"/>
        <v>3.9000000000000007E-2</v>
      </c>
      <c r="DA15">
        <v>0.219</v>
      </c>
      <c r="DB15">
        <f t="shared" si="51"/>
        <v>3.0000000000000027E-3</v>
      </c>
      <c r="DC15">
        <v>0.20100000000000001</v>
      </c>
      <c r="DD15">
        <f t="shared" si="52"/>
        <v>-2.0000000000000018E-3</v>
      </c>
      <c r="DE15">
        <v>0.26700000000000002</v>
      </c>
      <c r="DF15">
        <f t="shared" si="53"/>
        <v>6.2000000000000027E-2</v>
      </c>
    </row>
    <row r="16" spans="1:110">
      <c r="A16" t="s">
        <v>83</v>
      </c>
      <c r="B16" t="s">
        <v>84</v>
      </c>
      <c r="C16" s="1">
        <v>0.126</v>
      </c>
      <c r="D16" s="1">
        <f t="shared" si="0"/>
        <v>2.0000000000000018E-3</v>
      </c>
      <c r="E16" s="1">
        <v>0.14099999999999999</v>
      </c>
      <c r="F16">
        <f t="shared" si="1"/>
        <v>2.2999999999999993E-2</v>
      </c>
      <c r="G16" s="1">
        <v>0.14000000000000001</v>
      </c>
      <c r="H16">
        <f t="shared" si="2"/>
        <v>6.0000000000000053E-3</v>
      </c>
      <c r="I16" s="1">
        <v>0.749</v>
      </c>
      <c r="J16">
        <f t="shared" si="3"/>
        <v>0.57699999999999996</v>
      </c>
      <c r="K16" s="1">
        <v>0.89500000000000002</v>
      </c>
      <c r="L16">
        <f t="shared" si="4"/>
        <v>0.71900000000000008</v>
      </c>
      <c r="M16" s="1">
        <v>0.88100000000000001</v>
      </c>
      <c r="N16">
        <f t="shared" si="5"/>
        <v>0.71399999999999997</v>
      </c>
      <c r="O16" s="1">
        <v>0.96599999999999997</v>
      </c>
      <c r="P16">
        <f t="shared" si="6"/>
        <v>0.79899999999999993</v>
      </c>
      <c r="Q16" s="1">
        <v>0.95</v>
      </c>
      <c r="R16">
        <f t="shared" si="7"/>
        <v>0.77899999999999991</v>
      </c>
      <c r="S16" s="1">
        <v>0.97</v>
      </c>
      <c r="T16">
        <f t="shared" si="8"/>
        <v>0.77400000000000002</v>
      </c>
      <c r="U16" s="1">
        <v>0.93899999999999995</v>
      </c>
      <c r="V16">
        <f t="shared" si="9"/>
        <v>0.74899999999999989</v>
      </c>
      <c r="W16" s="1">
        <v>0.879</v>
      </c>
      <c r="X16">
        <f t="shared" si="10"/>
        <v>0.69500000000000006</v>
      </c>
      <c r="Y16" s="1">
        <v>0.84799999999999998</v>
      </c>
      <c r="Z16">
        <f t="shared" si="11"/>
        <v>0.621</v>
      </c>
      <c r="AA16" s="1">
        <v>0.878</v>
      </c>
      <c r="AB16">
        <f t="shared" si="12"/>
        <v>0.68599999999999994</v>
      </c>
      <c r="AC16" s="1">
        <v>0.85699999999999998</v>
      </c>
      <c r="AD16">
        <f t="shared" si="13"/>
        <v>0.68199999999999994</v>
      </c>
      <c r="AE16" s="1">
        <v>0.79900000000000004</v>
      </c>
      <c r="AF16">
        <f t="shared" si="14"/>
        <v>0.58300000000000007</v>
      </c>
      <c r="AG16">
        <v>0.85199999999999998</v>
      </c>
      <c r="AH16">
        <f t="shared" si="15"/>
        <v>0.68799999999999994</v>
      </c>
      <c r="AI16">
        <v>0.83799999999999997</v>
      </c>
      <c r="AJ16">
        <f t="shared" si="16"/>
        <v>0.66199999999999992</v>
      </c>
      <c r="AK16">
        <v>0.77900000000000003</v>
      </c>
      <c r="AL16">
        <f t="shared" si="17"/>
        <v>0.57600000000000007</v>
      </c>
      <c r="AM16" s="1">
        <v>0.16700000000000001</v>
      </c>
      <c r="AN16" s="2">
        <f t="shared" si="18"/>
        <v>5.6000000000000008E-2</v>
      </c>
      <c r="AO16" s="1">
        <v>0.16800000000000001</v>
      </c>
      <c r="AP16" s="2">
        <f t="shared" si="19"/>
        <v>5.9000000000000011E-2</v>
      </c>
      <c r="AQ16" s="1">
        <v>0.218</v>
      </c>
      <c r="AR16" s="2">
        <f t="shared" si="20"/>
        <v>0.106</v>
      </c>
      <c r="AS16" s="1">
        <v>0.70799999999999996</v>
      </c>
      <c r="AT16" s="2">
        <f t="shared" si="21"/>
        <v>0.51200000000000001</v>
      </c>
      <c r="AU16" s="1">
        <v>0.79600000000000004</v>
      </c>
      <c r="AV16" s="2">
        <f t="shared" si="22"/>
        <v>0.59800000000000009</v>
      </c>
      <c r="AW16" s="1">
        <v>0.78800000000000003</v>
      </c>
      <c r="AX16" s="2">
        <f t="shared" si="23"/>
        <v>0.58200000000000007</v>
      </c>
      <c r="AY16" s="1">
        <v>0.94899999999999995</v>
      </c>
      <c r="AZ16">
        <f t="shared" si="24"/>
        <v>0.74</v>
      </c>
      <c r="BA16" s="1">
        <v>0.97699999999999998</v>
      </c>
      <c r="BB16">
        <f t="shared" si="25"/>
        <v>0.77100000000000002</v>
      </c>
      <c r="BC16" s="1">
        <v>0.98599999999999999</v>
      </c>
      <c r="BD16">
        <f t="shared" si="26"/>
        <v>0.77200000000000002</v>
      </c>
      <c r="BE16" s="1">
        <v>0.95399999999999996</v>
      </c>
      <c r="BF16">
        <f t="shared" si="27"/>
        <v>0.73699999999999999</v>
      </c>
      <c r="BG16" s="1">
        <v>1.129</v>
      </c>
      <c r="BH16">
        <f t="shared" si="28"/>
        <v>0.92400000000000004</v>
      </c>
      <c r="BI16" s="1">
        <v>1.02</v>
      </c>
      <c r="BJ16">
        <f t="shared" si="29"/>
        <v>0.81400000000000006</v>
      </c>
      <c r="BK16" s="1">
        <v>1.002</v>
      </c>
      <c r="BL16">
        <f t="shared" si="30"/>
        <v>0.78300000000000003</v>
      </c>
      <c r="BM16" s="1">
        <v>1.117</v>
      </c>
      <c r="BN16">
        <f t="shared" si="31"/>
        <v>0.90100000000000002</v>
      </c>
      <c r="BO16" s="1">
        <v>1.046</v>
      </c>
      <c r="BP16">
        <f t="shared" si="32"/>
        <v>0.82500000000000007</v>
      </c>
      <c r="BQ16">
        <v>1.1000000000000001</v>
      </c>
      <c r="BR16">
        <f t="shared" si="33"/>
        <v>0.88100000000000012</v>
      </c>
      <c r="BS16">
        <v>1.101</v>
      </c>
      <c r="BT16">
        <f t="shared" si="34"/>
        <v>0.89900000000000002</v>
      </c>
      <c r="BU16">
        <v>1.1000000000000001</v>
      </c>
      <c r="BV16">
        <f t="shared" si="35"/>
        <v>0.87600000000000011</v>
      </c>
      <c r="BW16" s="1">
        <v>0.13600000000000001</v>
      </c>
      <c r="BX16" s="2">
        <f t="shared" si="36"/>
        <v>-2.2999999999999993E-2</v>
      </c>
      <c r="BY16" s="1">
        <v>0.13700000000000001</v>
      </c>
      <c r="BZ16" s="2">
        <f t="shared" si="37"/>
        <v>3.3000000000000015E-2</v>
      </c>
      <c r="CA16" s="1">
        <v>0.216</v>
      </c>
      <c r="CB16" s="2">
        <f t="shared" si="38"/>
        <v>-0.27300000000000002</v>
      </c>
      <c r="CC16" s="1">
        <v>0.80900000000000005</v>
      </c>
      <c r="CD16" s="2">
        <f t="shared" si="39"/>
        <v>0.59400000000000008</v>
      </c>
      <c r="CE16" s="1">
        <v>0.73299999999999998</v>
      </c>
      <c r="CF16" s="2">
        <f t="shared" si="40"/>
        <v>0.55099999999999993</v>
      </c>
      <c r="CG16" s="1">
        <v>0.79400000000000004</v>
      </c>
      <c r="CH16" s="2">
        <f t="shared" si="41"/>
        <v>0.60299999999999998</v>
      </c>
      <c r="CI16" s="1">
        <v>0.96</v>
      </c>
      <c r="CJ16">
        <f t="shared" si="42"/>
        <v>0.75</v>
      </c>
      <c r="CK16" s="1">
        <v>0.91800000000000004</v>
      </c>
      <c r="CL16">
        <f t="shared" si="43"/>
        <v>0.72300000000000009</v>
      </c>
      <c r="CM16" s="1">
        <v>0.97</v>
      </c>
      <c r="CN16">
        <f t="shared" si="44"/>
        <v>0.76300000000000001</v>
      </c>
      <c r="CO16" s="1">
        <v>0.95</v>
      </c>
      <c r="CP16">
        <f t="shared" si="45"/>
        <v>0.73299999999999998</v>
      </c>
      <c r="CQ16" s="1">
        <v>0.98299999999999998</v>
      </c>
      <c r="CR16">
        <f t="shared" si="46"/>
        <v>0.78400000000000003</v>
      </c>
      <c r="CS16" s="1">
        <v>1.02</v>
      </c>
      <c r="CT16">
        <f t="shared" si="47"/>
        <v>0.82000000000000006</v>
      </c>
      <c r="CU16" s="1">
        <v>0.94399999999999995</v>
      </c>
      <c r="CV16">
        <f t="shared" si="48"/>
        <v>0.72399999999999998</v>
      </c>
      <c r="CW16" s="1">
        <v>1.085</v>
      </c>
      <c r="CX16">
        <f t="shared" si="49"/>
        <v>0.879</v>
      </c>
      <c r="CY16" s="1">
        <v>1.095</v>
      </c>
      <c r="CZ16">
        <f t="shared" si="50"/>
        <v>0.88700000000000001</v>
      </c>
      <c r="DA16">
        <v>1.0169999999999999</v>
      </c>
      <c r="DB16">
        <f t="shared" si="51"/>
        <v>0.80099999999999993</v>
      </c>
      <c r="DC16">
        <v>1.103</v>
      </c>
      <c r="DD16">
        <f t="shared" si="52"/>
        <v>0.89999999999999991</v>
      </c>
      <c r="DE16">
        <v>1.1399999999999999</v>
      </c>
      <c r="DF16">
        <f t="shared" si="53"/>
        <v>0.93499999999999994</v>
      </c>
    </row>
    <row r="17" spans="1:110">
      <c r="A17" t="s">
        <v>85</v>
      </c>
      <c r="B17" t="s">
        <v>86</v>
      </c>
      <c r="C17" s="1">
        <v>0.13100000000000001</v>
      </c>
      <c r="D17" s="1">
        <f t="shared" si="0"/>
        <v>7.0000000000000062E-3</v>
      </c>
      <c r="E17" s="1">
        <v>0.16600000000000001</v>
      </c>
      <c r="F17">
        <f t="shared" si="1"/>
        <v>4.8000000000000015E-2</v>
      </c>
      <c r="G17" s="1">
        <v>0.14099999999999999</v>
      </c>
      <c r="H17">
        <f t="shared" si="2"/>
        <v>6.9999999999999785E-3</v>
      </c>
      <c r="I17" s="1">
        <v>0.19700000000000001</v>
      </c>
      <c r="J17">
        <f t="shared" si="3"/>
        <v>2.5000000000000022E-2</v>
      </c>
      <c r="K17" s="1">
        <v>0.217</v>
      </c>
      <c r="L17">
        <f t="shared" si="4"/>
        <v>4.1000000000000009E-2</v>
      </c>
      <c r="M17" s="1">
        <v>0.218</v>
      </c>
      <c r="N17">
        <f t="shared" si="5"/>
        <v>5.099999999999999E-2</v>
      </c>
      <c r="O17" s="1">
        <v>0.19600000000000001</v>
      </c>
      <c r="P17">
        <f t="shared" si="6"/>
        <v>2.8999999999999998E-2</v>
      </c>
      <c r="Q17" s="1">
        <v>0.22</v>
      </c>
      <c r="R17">
        <f t="shared" si="7"/>
        <v>4.8999999999999988E-2</v>
      </c>
      <c r="S17" s="1">
        <v>0.214</v>
      </c>
      <c r="T17">
        <f t="shared" si="8"/>
        <v>1.7999999999999988E-2</v>
      </c>
      <c r="U17" s="1">
        <v>0.19</v>
      </c>
      <c r="V17">
        <f t="shared" si="9"/>
        <v>0</v>
      </c>
      <c r="W17" s="1">
        <v>0.21199999999999999</v>
      </c>
      <c r="X17">
        <f t="shared" si="10"/>
        <v>2.7999999999999997E-2</v>
      </c>
      <c r="Y17" s="1">
        <v>0.20100000000000001</v>
      </c>
      <c r="Z17">
        <f t="shared" si="11"/>
        <v>-2.5999999999999995E-2</v>
      </c>
      <c r="AA17" s="1">
        <v>0.17199999999999999</v>
      </c>
      <c r="AB17">
        <f t="shared" si="12"/>
        <v>-2.0000000000000018E-2</v>
      </c>
      <c r="AC17" s="1">
        <v>0.20300000000000001</v>
      </c>
      <c r="AD17">
        <f t="shared" si="13"/>
        <v>2.8000000000000025E-2</v>
      </c>
      <c r="AE17" s="1">
        <v>0.19600000000000001</v>
      </c>
      <c r="AF17">
        <f t="shared" si="14"/>
        <v>-1.999999999999999E-2</v>
      </c>
      <c r="AG17">
        <v>0.17499999999999999</v>
      </c>
      <c r="AH17">
        <f t="shared" si="15"/>
        <v>1.0999999999999982E-2</v>
      </c>
      <c r="AI17">
        <v>0.19400000000000001</v>
      </c>
      <c r="AJ17">
        <f t="shared" si="16"/>
        <v>1.8000000000000016E-2</v>
      </c>
      <c r="AK17">
        <v>0.19600000000000001</v>
      </c>
      <c r="AL17">
        <f t="shared" si="17"/>
        <v>-7.0000000000000062E-3</v>
      </c>
      <c r="AM17" s="1">
        <v>0.16700000000000001</v>
      </c>
      <c r="AN17" s="2">
        <f t="shared" si="18"/>
        <v>5.6000000000000008E-2</v>
      </c>
      <c r="AO17" s="1">
        <v>0.17599999999999999</v>
      </c>
      <c r="AP17" s="2">
        <f t="shared" si="19"/>
        <v>6.699999999999999E-2</v>
      </c>
      <c r="AQ17" s="1">
        <v>0.20300000000000001</v>
      </c>
      <c r="AR17" s="2">
        <f t="shared" si="20"/>
        <v>9.1000000000000011E-2</v>
      </c>
      <c r="AS17" s="1">
        <v>0.26900000000000002</v>
      </c>
      <c r="AT17" s="2">
        <f t="shared" si="21"/>
        <v>7.3000000000000009E-2</v>
      </c>
      <c r="AU17" s="1">
        <v>0.23</v>
      </c>
      <c r="AV17" s="2">
        <f t="shared" si="22"/>
        <v>3.2000000000000001E-2</v>
      </c>
      <c r="AW17" s="1">
        <v>0.29299999999999998</v>
      </c>
      <c r="AX17" s="2">
        <f t="shared" si="23"/>
        <v>8.6999999999999994E-2</v>
      </c>
      <c r="AY17" s="1">
        <v>0.27500000000000002</v>
      </c>
      <c r="AZ17">
        <f t="shared" si="24"/>
        <v>6.6000000000000031E-2</v>
      </c>
      <c r="BA17" s="1">
        <v>0.23899999999999999</v>
      </c>
      <c r="BB17">
        <f t="shared" si="25"/>
        <v>3.3000000000000002E-2</v>
      </c>
      <c r="BC17" s="1">
        <v>0.25800000000000001</v>
      </c>
      <c r="BD17">
        <f t="shared" si="26"/>
        <v>4.4000000000000011E-2</v>
      </c>
      <c r="BE17" s="1">
        <v>0.25700000000000001</v>
      </c>
      <c r="BF17">
        <f t="shared" si="27"/>
        <v>4.0000000000000008E-2</v>
      </c>
      <c r="BG17" s="1">
        <v>0.22</v>
      </c>
      <c r="BH17">
        <f t="shared" si="28"/>
        <v>1.5000000000000013E-2</v>
      </c>
      <c r="BI17" s="1">
        <v>0.251</v>
      </c>
      <c r="BJ17">
        <f t="shared" si="29"/>
        <v>4.5000000000000012E-2</v>
      </c>
      <c r="BK17" s="1">
        <v>0.247</v>
      </c>
      <c r="BL17">
        <f t="shared" si="30"/>
        <v>2.7999999999999997E-2</v>
      </c>
      <c r="BM17" s="1">
        <v>0.21199999999999999</v>
      </c>
      <c r="BN17">
        <f t="shared" si="31"/>
        <v>-4.0000000000000036E-3</v>
      </c>
      <c r="BO17" s="1">
        <v>0.23400000000000001</v>
      </c>
      <c r="BP17">
        <f t="shared" si="32"/>
        <v>1.3000000000000012E-2</v>
      </c>
      <c r="BQ17">
        <v>0.253</v>
      </c>
      <c r="BR17">
        <f t="shared" si="33"/>
        <v>3.4000000000000002E-2</v>
      </c>
      <c r="BS17">
        <v>0.217</v>
      </c>
      <c r="BT17">
        <f t="shared" si="34"/>
        <v>1.4999999999999986E-2</v>
      </c>
      <c r="BU17">
        <v>0.27200000000000002</v>
      </c>
      <c r="BV17">
        <f t="shared" si="35"/>
        <v>4.8000000000000015E-2</v>
      </c>
      <c r="BW17" s="1">
        <v>0.151</v>
      </c>
      <c r="BX17" s="2">
        <f t="shared" si="36"/>
        <v>-8.0000000000000071E-3</v>
      </c>
      <c r="BY17" s="1">
        <v>0.154</v>
      </c>
      <c r="BZ17" s="2">
        <f t="shared" si="37"/>
        <v>0.05</v>
      </c>
      <c r="CA17" s="1">
        <v>0.22600000000000001</v>
      </c>
      <c r="CB17" s="2">
        <f t="shared" si="38"/>
        <v>-0.26300000000000001</v>
      </c>
      <c r="CC17" s="1">
        <v>0.217</v>
      </c>
      <c r="CD17" s="2">
        <f t="shared" si="39"/>
        <v>2.0000000000000018E-3</v>
      </c>
      <c r="CE17" s="1">
        <v>0.22800000000000001</v>
      </c>
      <c r="CF17" s="2">
        <f t="shared" si="40"/>
        <v>4.6000000000000013E-2</v>
      </c>
      <c r="CG17" s="1">
        <v>0.30099999999999999</v>
      </c>
      <c r="CH17" s="2">
        <f t="shared" si="41"/>
        <v>0.10999999999999999</v>
      </c>
      <c r="CI17" s="1">
        <v>0.23799999999999999</v>
      </c>
      <c r="CJ17">
        <f t="shared" si="42"/>
        <v>2.7999999999999997E-2</v>
      </c>
      <c r="CK17" s="1">
        <v>0.23899999999999999</v>
      </c>
      <c r="CL17">
        <f t="shared" si="43"/>
        <v>4.3999999999999984E-2</v>
      </c>
      <c r="CM17" s="1">
        <v>0.255</v>
      </c>
      <c r="CN17">
        <f t="shared" si="44"/>
        <v>4.8000000000000015E-2</v>
      </c>
      <c r="CO17" s="1">
        <v>0.216</v>
      </c>
      <c r="CP17">
        <f t="shared" si="45"/>
        <v>-1.0000000000000009E-3</v>
      </c>
      <c r="CQ17" s="1">
        <v>0.215</v>
      </c>
      <c r="CR17">
        <f t="shared" si="46"/>
        <v>1.5999999999999986E-2</v>
      </c>
      <c r="CS17" s="1">
        <v>0.23300000000000001</v>
      </c>
      <c r="CT17">
        <f t="shared" si="47"/>
        <v>3.3000000000000002E-2</v>
      </c>
      <c r="CU17" s="1">
        <v>0.20799999999999999</v>
      </c>
      <c r="CV17">
        <f t="shared" si="48"/>
        <v>-1.2000000000000011E-2</v>
      </c>
      <c r="CW17" s="1">
        <v>0.20300000000000001</v>
      </c>
      <c r="CX17">
        <f t="shared" si="49"/>
        <v>-2.9999999999999749E-3</v>
      </c>
      <c r="CY17" s="1">
        <v>0.222</v>
      </c>
      <c r="CZ17">
        <f t="shared" si="50"/>
        <v>1.4000000000000012E-2</v>
      </c>
      <c r="DA17">
        <v>0.20499999999999999</v>
      </c>
      <c r="DB17">
        <f t="shared" si="51"/>
        <v>-1.100000000000001E-2</v>
      </c>
      <c r="DC17">
        <v>0.19600000000000001</v>
      </c>
      <c r="DD17">
        <f t="shared" si="52"/>
        <v>-7.0000000000000062E-3</v>
      </c>
      <c r="DE17">
        <v>0.25</v>
      </c>
      <c r="DF17">
        <f t="shared" si="53"/>
        <v>4.5000000000000012E-2</v>
      </c>
    </row>
    <row r="18" spans="1:110">
      <c r="A18" t="s">
        <v>87</v>
      </c>
      <c r="B18" t="s">
        <v>88</v>
      </c>
      <c r="C18" s="1">
        <v>0.126</v>
      </c>
      <c r="D18" s="1">
        <f t="shared" si="0"/>
        <v>2.0000000000000018E-3</v>
      </c>
      <c r="E18" s="1">
        <v>0.13</v>
      </c>
      <c r="F18">
        <f t="shared" si="1"/>
        <v>1.2000000000000011E-2</v>
      </c>
      <c r="G18" s="1">
        <v>0.109</v>
      </c>
      <c r="H18">
        <f t="shared" si="2"/>
        <v>-2.5000000000000008E-2</v>
      </c>
      <c r="I18" s="1">
        <v>1.0389999999999999</v>
      </c>
      <c r="J18">
        <f t="shared" si="3"/>
        <v>0.86699999999999999</v>
      </c>
      <c r="K18" s="1">
        <v>1.135</v>
      </c>
      <c r="L18">
        <f t="shared" si="4"/>
        <v>0.95900000000000007</v>
      </c>
      <c r="M18" s="1">
        <v>1.0509999999999999</v>
      </c>
      <c r="N18">
        <f t="shared" si="5"/>
        <v>0.8839999999999999</v>
      </c>
      <c r="O18" s="1">
        <v>1.2250000000000001</v>
      </c>
      <c r="P18">
        <f t="shared" si="6"/>
        <v>1.0580000000000001</v>
      </c>
      <c r="Q18" s="1">
        <v>1.264</v>
      </c>
      <c r="R18">
        <f t="shared" si="7"/>
        <v>1.093</v>
      </c>
      <c r="S18" s="1">
        <v>1.097</v>
      </c>
      <c r="T18">
        <f t="shared" si="8"/>
        <v>0.90100000000000002</v>
      </c>
      <c r="U18" s="1">
        <v>1.091</v>
      </c>
      <c r="V18">
        <f t="shared" si="9"/>
        <v>0.90100000000000002</v>
      </c>
      <c r="W18" s="1">
        <v>1.079</v>
      </c>
      <c r="X18">
        <f t="shared" si="10"/>
        <v>0.89500000000000002</v>
      </c>
      <c r="Y18" s="1">
        <v>0.96899999999999997</v>
      </c>
      <c r="Z18">
        <f t="shared" si="11"/>
        <v>0.74199999999999999</v>
      </c>
      <c r="AA18" s="1">
        <v>1.0760000000000001</v>
      </c>
      <c r="AB18">
        <f t="shared" si="12"/>
        <v>0.88400000000000012</v>
      </c>
      <c r="AC18" s="1">
        <v>1.1659999999999999</v>
      </c>
      <c r="AD18">
        <f t="shared" si="13"/>
        <v>0.99099999999999988</v>
      </c>
      <c r="AE18" s="1">
        <v>0.93100000000000005</v>
      </c>
      <c r="AF18">
        <f t="shared" si="14"/>
        <v>0.71500000000000008</v>
      </c>
      <c r="AG18">
        <v>1.1819999999999999</v>
      </c>
      <c r="AH18">
        <f t="shared" si="15"/>
        <v>1.018</v>
      </c>
      <c r="AI18">
        <v>1.1140000000000001</v>
      </c>
      <c r="AJ18">
        <f t="shared" si="16"/>
        <v>0.93800000000000017</v>
      </c>
      <c r="AK18">
        <v>1.089</v>
      </c>
      <c r="AL18">
        <f t="shared" si="17"/>
        <v>0.8859999999999999</v>
      </c>
      <c r="AM18" s="1">
        <v>0.104</v>
      </c>
      <c r="AN18" s="2">
        <f t="shared" si="18"/>
        <v>-7.0000000000000062E-3</v>
      </c>
      <c r="AO18" s="1">
        <v>0.109</v>
      </c>
      <c r="AP18" s="2">
        <f t="shared" si="19"/>
        <v>0</v>
      </c>
      <c r="AQ18" s="1">
        <v>0.16700000000000001</v>
      </c>
      <c r="AR18" s="2">
        <f t="shared" si="20"/>
        <v>5.5000000000000007E-2</v>
      </c>
      <c r="AS18" s="1">
        <v>0.95699999999999996</v>
      </c>
      <c r="AT18" s="2">
        <f t="shared" si="21"/>
        <v>0.7609999999999999</v>
      </c>
      <c r="AU18" s="1">
        <v>0.96799999999999997</v>
      </c>
      <c r="AV18" s="2">
        <f t="shared" si="22"/>
        <v>0.77</v>
      </c>
      <c r="AW18" s="1">
        <v>1.0109999999999999</v>
      </c>
      <c r="AX18" s="2">
        <f t="shared" si="23"/>
        <v>0.80499999999999994</v>
      </c>
      <c r="AY18" s="1">
        <v>1.1240000000000001</v>
      </c>
      <c r="AZ18">
        <f t="shared" si="24"/>
        <v>0.91500000000000015</v>
      </c>
      <c r="BA18" s="1">
        <v>1.099</v>
      </c>
      <c r="BB18">
        <f t="shared" si="25"/>
        <v>0.89300000000000002</v>
      </c>
      <c r="BC18" s="1">
        <v>1.1299999999999999</v>
      </c>
      <c r="BD18">
        <f t="shared" si="26"/>
        <v>0.91599999999999993</v>
      </c>
      <c r="BE18" s="1">
        <v>1.3149999999999999</v>
      </c>
      <c r="BF18">
        <f t="shared" si="27"/>
        <v>1.0979999999999999</v>
      </c>
      <c r="BG18" s="1">
        <v>1.4450000000000001</v>
      </c>
      <c r="BH18">
        <f t="shared" si="28"/>
        <v>1.24</v>
      </c>
      <c r="BI18" s="1">
        <v>1.266</v>
      </c>
      <c r="BJ18">
        <f t="shared" si="29"/>
        <v>1.06</v>
      </c>
      <c r="BK18" s="1">
        <v>1.329</v>
      </c>
      <c r="BL18">
        <f t="shared" si="30"/>
        <v>1.1099999999999999</v>
      </c>
      <c r="BM18" s="1">
        <v>1.3160000000000001</v>
      </c>
      <c r="BN18">
        <f t="shared" si="31"/>
        <v>1.1000000000000001</v>
      </c>
      <c r="BO18" s="1">
        <v>1.2589999999999999</v>
      </c>
      <c r="BP18">
        <f t="shared" si="32"/>
        <v>1.0379999999999998</v>
      </c>
      <c r="BQ18">
        <v>1.2649999999999999</v>
      </c>
      <c r="BR18">
        <f t="shared" si="33"/>
        <v>1.0459999999999998</v>
      </c>
      <c r="BS18">
        <v>1.286</v>
      </c>
      <c r="BT18">
        <f t="shared" si="34"/>
        <v>1.0840000000000001</v>
      </c>
      <c r="BU18">
        <v>1.2929999999999999</v>
      </c>
      <c r="BV18">
        <f t="shared" si="35"/>
        <v>1.069</v>
      </c>
      <c r="BW18" s="1">
        <v>0.11799999999999999</v>
      </c>
      <c r="BX18" s="2">
        <f t="shared" si="36"/>
        <v>-4.1000000000000009E-2</v>
      </c>
      <c r="BY18" s="1">
        <v>9.7000000000000003E-2</v>
      </c>
      <c r="BZ18" s="2">
        <f t="shared" si="37"/>
        <v>-6.9999999999999923E-3</v>
      </c>
      <c r="CA18" s="1">
        <v>0.17599999999999999</v>
      </c>
      <c r="CB18" s="2">
        <f t="shared" si="38"/>
        <v>-0.313</v>
      </c>
      <c r="CC18" s="1">
        <v>0.98799999999999999</v>
      </c>
      <c r="CD18" s="2">
        <f t="shared" si="39"/>
        <v>0.77300000000000002</v>
      </c>
      <c r="CE18" s="1">
        <v>0.90100000000000002</v>
      </c>
      <c r="CF18" s="2">
        <f t="shared" si="40"/>
        <v>0.71900000000000008</v>
      </c>
      <c r="CG18" s="1">
        <v>0.98199999999999998</v>
      </c>
      <c r="CH18" s="2">
        <f t="shared" si="41"/>
        <v>0.79099999999999993</v>
      </c>
      <c r="CI18" s="1">
        <v>1.1339999999999999</v>
      </c>
      <c r="CJ18">
        <f t="shared" si="42"/>
        <v>0.92399999999999993</v>
      </c>
      <c r="CK18" s="1">
        <v>1.1040000000000001</v>
      </c>
      <c r="CL18">
        <f t="shared" si="43"/>
        <v>0.90900000000000003</v>
      </c>
      <c r="CM18" s="1">
        <v>1.151</v>
      </c>
      <c r="CN18">
        <f t="shared" si="44"/>
        <v>0.94400000000000006</v>
      </c>
      <c r="CO18" s="1">
        <v>1.2170000000000001</v>
      </c>
      <c r="CP18">
        <f t="shared" si="45"/>
        <v>1</v>
      </c>
      <c r="CQ18" s="1">
        <v>1.448</v>
      </c>
      <c r="CR18">
        <f t="shared" si="46"/>
        <v>1.2489999999999999</v>
      </c>
      <c r="CS18" s="1">
        <v>1.22</v>
      </c>
      <c r="CT18">
        <f t="shared" si="47"/>
        <v>1.02</v>
      </c>
      <c r="CU18" s="1">
        <v>1.2410000000000001</v>
      </c>
      <c r="CV18">
        <f t="shared" si="48"/>
        <v>1.0210000000000001</v>
      </c>
      <c r="CW18" s="1">
        <v>1.216</v>
      </c>
      <c r="CX18">
        <f t="shared" si="49"/>
        <v>1.01</v>
      </c>
      <c r="CY18" s="1">
        <v>1.22</v>
      </c>
      <c r="CZ18">
        <f t="shared" si="50"/>
        <v>1.012</v>
      </c>
      <c r="DA18">
        <v>1.198</v>
      </c>
      <c r="DB18">
        <f t="shared" si="51"/>
        <v>0.98199999999999998</v>
      </c>
      <c r="DC18">
        <v>1.1970000000000001</v>
      </c>
      <c r="DD18">
        <f t="shared" si="52"/>
        <v>0.99399999999999999</v>
      </c>
      <c r="DE18">
        <v>1.214</v>
      </c>
      <c r="DF18">
        <f t="shared" si="53"/>
        <v>1.0089999999999999</v>
      </c>
    </row>
    <row r="19" spans="1:110">
      <c r="A19" t="s">
        <v>89</v>
      </c>
      <c r="B19" t="s">
        <v>90</v>
      </c>
      <c r="C19" s="1">
        <v>0.153</v>
      </c>
      <c r="D19" s="1">
        <f t="shared" si="0"/>
        <v>2.8999999999999998E-2</v>
      </c>
      <c r="E19" s="1">
        <v>0.157</v>
      </c>
      <c r="F19">
        <f t="shared" si="1"/>
        <v>3.9000000000000007E-2</v>
      </c>
      <c r="G19" s="1">
        <v>0.13200000000000001</v>
      </c>
      <c r="H19">
        <f t="shared" si="2"/>
        <v>-2.0000000000000018E-3</v>
      </c>
      <c r="I19" s="1">
        <v>0.186</v>
      </c>
      <c r="J19">
        <f t="shared" si="3"/>
        <v>1.4000000000000012E-2</v>
      </c>
      <c r="K19" s="1">
        <v>0.23300000000000001</v>
      </c>
      <c r="L19">
        <f t="shared" si="4"/>
        <v>5.7000000000000023E-2</v>
      </c>
      <c r="M19" s="1">
        <v>0.24399999999999999</v>
      </c>
      <c r="N19">
        <f t="shared" si="5"/>
        <v>7.6999999999999985E-2</v>
      </c>
      <c r="O19" s="1">
        <v>0.16200000000000001</v>
      </c>
      <c r="P19">
        <f t="shared" si="6"/>
        <v>-5.0000000000000044E-3</v>
      </c>
      <c r="Q19" s="1">
        <v>0.20100000000000001</v>
      </c>
      <c r="R19">
        <f t="shared" si="7"/>
        <v>0.03</v>
      </c>
      <c r="S19" s="1">
        <v>0.253</v>
      </c>
      <c r="T19">
        <f t="shared" si="8"/>
        <v>5.6999999999999995E-2</v>
      </c>
      <c r="U19" s="1">
        <v>0.188</v>
      </c>
      <c r="V19">
        <f t="shared" si="9"/>
        <v>-2.0000000000000018E-3</v>
      </c>
      <c r="W19" s="1">
        <v>0.216</v>
      </c>
      <c r="X19">
        <f t="shared" si="10"/>
        <v>3.2000000000000001E-2</v>
      </c>
      <c r="Y19" s="1">
        <v>0.22900000000000001</v>
      </c>
      <c r="Z19">
        <f t="shared" si="11"/>
        <v>2.0000000000000018E-3</v>
      </c>
      <c r="AA19" s="1">
        <v>0.191</v>
      </c>
      <c r="AB19">
        <f t="shared" si="12"/>
        <v>-1.0000000000000009E-3</v>
      </c>
      <c r="AC19" s="1">
        <v>0.222</v>
      </c>
      <c r="AD19">
        <f t="shared" si="13"/>
        <v>4.7000000000000014E-2</v>
      </c>
      <c r="AE19" s="1">
        <v>0.218</v>
      </c>
      <c r="AF19">
        <f t="shared" si="14"/>
        <v>2.0000000000000018E-3</v>
      </c>
      <c r="AG19">
        <v>0.185</v>
      </c>
      <c r="AH19">
        <f t="shared" si="15"/>
        <v>2.0999999999999991E-2</v>
      </c>
      <c r="AI19">
        <v>0.216</v>
      </c>
      <c r="AJ19">
        <f t="shared" si="16"/>
        <v>4.0000000000000008E-2</v>
      </c>
      <c r="AK19">
        <v>0.222</v>
      </c>
      <c r="AL19">
        <f t="shared" si="17"/>
        <v>1.8999999999999989E-2</v>
      </c>
      <c r="AM19" s="1">
        <v>0.115</v>
      </c>
      <c r="AN19" s="2">
        <f t="shared" si="18"/>
        <v>4.0000000000000036E-3</v>
      </c>
      <c r="AO19" s="1">
        <v>0.13</v>
      </c>
      <c r="AP19" s="2">
        <f t="shared" si="19"/>
        <v>2.1000000000000005E-2</v>
      </c>
      <c r="AQ19" s="1">
        <v>0.16800000000000001</v>
      </c>
      <c r="AR19" s="2">
        <f t="shared" si="20"/>
        <v>5.6000000000000008E-2</v>
      </c>
      <c r="AS19" s="1">
        <v>0.8</v>
      </c>
      <c r="AT19" s="2">
        <f t="shared" si="21"/>
        <v>0.60400000000000009</v>
      </c>
      <c r="AU19" s="1">
        <v>0.82</v>
      </c>
      <c r="AV19" s="2">
        <f t="shared" si="22"/>
        <v>0.62199999999999989</v>
      </c>
      <c r="AW19" s="1">
        <v>0.86099999999999999</v>
      </c>
      <c r="AX19" s="2">
        <f t="shared" si="23"/>
        <v>0.65500000000000003</v>
      </c>
      <c r="AY19" s="1">
        <v>1.1739999999999999</v>
      </c>
      <c r="AZ19">
        <f t="shared" si="24"/>
        <v>0.96499999999999997</v>
      </c>
      <c r="BA19" s="1">
        <v>1.1719999999999999</v>
      </c>
      <c r="BB19">
        <f t="shared" si="25"/>
        <v>0.96599999999999997</v>
      </c>
      <c r="BC19" s="1">
        <v>1.234</v>
      </c>
      <c r="BD19">
        <f t="shared" si="26"/>
        <v>1.02</v>
      </c>
      <c r="BE19" s="1">
        <v>1.2210000000000001</v>
      </c>
      <c r="BF19">
        <f t="shared" si="27"/>
        <v>1.004</v>
      </c>
      <c r="BG19" s="1">
        <v>1.4059999999999999</v>
      </c>
      <c r="BH19">
        <f t="shared" si="28"/>
        <v>1.2009999999999998</v>
      </c>
      <c r="BI19" s="1">
        <v>1.3979999999999999</v>
      </c>
      <c r="BJ19">
        <f t="shared" si="29"/>
        <v>1.1919999999999999</v>
      </c>
      <c r="BK19" s="1">
        <v>1.3280000000000001</v>
      </c>
      <c r="BL19">
        <f t="shared" si="30"/>
        <v>1.109</v>
      </c>
      <c r="BM19" s="1">
        <v>1.423</v>
      </c>
      <c r="BN19">
        <f t="shared" si="31"/>
        <v>1.2070000000000001</v>
      </c>
      <c r="BO19" s="1">
        <v>1.3879999999999999</v>
      </c>
      <c r="BP19">
        <f t="shared" si="32"/>
        <v>1.1669999999999998</v>
      </c>
      <c r="BQ19">
        <v>1.2589999999999999</v>
      </c>
      <c r="BR19">
        <f t="shared" si="33"/>
        <v>1.0399999999999998</v>
      </c>
      <c r="BS19">
        <v>1.321</v>
      </c>
      <c r="BT19">
        <f t="shared" si="34"/>
        <v>1.119</v>
      </c>
      <c r="BU19">
        <v>1.3009999999999999</v>
      </c>
      <c r="BV19">
        <f t="shared" si="35"/>
        <v>1.077</v>
      </c>
      <c r="BW19" s="1">
        <v>0.14099999999999999</v>
      </c>
      <c r="BX19" s="2">
        <f t="shared" si="36"/>
        <v>-1.8000000000000016E-2</v>
      </c>
      <c r="BY19" s="1">
        <v>0.108</v>
      </c>
      <c r="BZ19" s="2">
        <f t="shared" si="37"/>
        <v>4.0000000000000036E-3</v>
      </c>
      <c r="CA19" s="1">
        <v>0.2</v>
      </c>
      <c r="CB19" s="2">
        <f t="shared" si="38"/>
        <v>-0.28899999999999998</v>
      </c>
      <c r="CC19" s="1">
        <v>0.84899999999999998</v>
      </c>
      <c r="CD19" s="2">
        <f t="shared" si="39"/>
        <v>0.63400000000000001</v>
      </c>
      <c r="CE19" s="1">
        <v>0.78300000000000003</v>
      </c>
      <c r="CF19" s="2">
        <f t="shared" si="40"/>
        <v>0.60099999999999998</v>
      </c>
      <c r="CG19" s="1">
        <v>0.84399999999999997</v>
      </c>
      <c r="CH19" s="2">
        <f t="shared" si="41"/>
        <v>0.65300000000000002</v>
      </c>
      <c r="CI19" s="1">
        <v>1.224</v>
      </c>
      <c r="CJ19">
        <f t="shared" si="42"/>
        <v>1.014</v>
      </c>
      <c r="CK19" s="1">
        <v>1.1910000000000001</v>
      </c>
      <c r="CL19">
        <f t="shared" si="43"/>
        <v>0.996</v>
      </c>
      <c r="CM19" s="1">
        <v>1.177</v>
      </c>
      <c r="CN19">
        <f t="shared" si="44"/>
        <v>0.97000000000000008</v>
      </c>
      <c r="CO19" s="1">
        <v>1.321</v>
      </c>
      <c r="CP19">
        <f t="shared" si="45"/>
        <v>1.1039999999999999</v>
      </c>
      <c r="CQ19" s="1">
        <v>1.2410000000000001</v>
      </c>
      <c r="CR19">
        <f t="shared" si="46"/>
        <v>1.042</v>
      </c>
      <c r="CS19" s="1">
        <v>1.3520000000000001</v>
      </c>
      <c r="CT19">
        <f t="shared" si="47"/>
        <v>1.1520000000000001</v>
      </c>
      <c r="CU19" s="1">
        <v>1.2969999999999999</v>
      </c>
      <c r="CV19">
        <f t="shared" si="48"/>
        <v>1.077</v>
      </c>
      <c r="CW19" s="1">
        <v>1.2709999999999999</v>
      </c>
      <c r="CX19">
        <f t="shared" si="49"/>
        <v>1.0649999999999999</v>
      </c>
      <c r="CY19" s="1">
        <v>1.238</v>
      </c>
      <c r="CZ19">
        <f t="shared" si="50"/>
        <v>1.03</v>
      </c>
      <c r="DA19">
        <v>1.2649999999999999</v>
      </c>
      <c r="DB19">
        <f t="shared" si="51"/>
        <v>1.0489999999999999</v>
      </c>
      <c r="DC19">
        <v>1.2010000000000001</v>
      </c>
      <c r="DD19">
        <f t="shared" si="52"/>
        <v>0.998</v>
      </c>
      <c r="DE19">
        <v>1.262</v>
      </c>
      <c r="DF19">
        <f t="shared" si="53"/>
        <v>1.0569999999999999</v>
      </c>
    </row>
    <row r="20" spans="1:110">
      <c r="A20" t="s">
        <v>91</v>
      </c>
      <c r="B20" t="s">
        <v>92</v>
      </c>
      <c r="C20" s="1">
        <v>0.108</v>
      </c>
      <c r="D20" s="1">
        <f t="shared" si="0"/>
        <v>-1.6E-2</v>
      </c>
      <c r="E20" s="1">
        <v>0.13500000000000001</v>
      </c>
      <c r="F20">
        <f t="shared" si="1"/>
        <v>1.7000000000000015E-2</v>
      </c>
      <c r="G20" s="1">
        <v>0.107</v>
      </c>
      <c r="H20">
        <f t="shared" si="2"/>
        <v>-2.700000000000001E-2</v>
      </c>
      <c r="I20" s="1">
        <v>0.17599999999999999</v>
      </c>
      <c r="J20">
        <f t="shared" si="3"/>
        <v>4.0000000000000036E-3</v>
      </c>
      <c r="K20" s="1">
        <v>0.182</v>
      </c>
      <c r="L20">
        <f t="shared" si="4"/>
        <v>6.0000000000000053E-3</v>
      </c>
      <c r="M20" s="1">
        <v>0.161</v>
      </c>
      <c r="N20">
        <f t="shared" si="5"/>
        <v>-6.0000000000000053E-3</v>
      </c>
      <c r="O20" s="1">
        <v>0.14000000000000001</v>
      </c>
      <c r="P20">
        <f t="shared" si="6"/>
        <v>-2.6999999999999996E-2</v>
      </c>
      <c r="Q20" s="1">
        <v>0.14499999999999999</v>
      </c>
      <c r="R20">
        <f t="shared" si="7"/>
        <v>-2.6000000000000023E-2</v>
      </c>
      <c r="S20" s="1">
        <v>0.14799999999999999</v>
      </c>
      <c r="T20">
        <f t="shared" si="8"/>
        <v>-4.8000000000000015E-2</v>
      </c>
      <c r="U20" s="1">
        <v>0.13800000000000001</v>
      </c>
      <c r="V20">
        <f t="shared" si="9"/>
        <v>-5.1999999999999991E-2</v>
      </c>
      <c r="W20" s="1">
        <v>0.14799999999999999</v>
      </c>
      <c r="X20">
        <f t="shared" si="10"/>
        <v>-3.6000000000000004E-2</v>
      </c>
      <c r="Y20" s="1">
        <v>0.152</v>
      </c>
      <c r="Z20">
        <f t="shared" si="11"/>
        <v>-7.5000000000000011E-2</v>
      </c>
      <c r="AA20" s="1">
        <v>0.14099999999999999</v>
      </c>
      <c r="AB20">
        <f t="shared" si="12"/>
        <v>-5.1000000000000018E-2</v>
      </c>
      <c r="AC20" s="1">
        <v>0.14699999999999999</v>
      </c>
      <c r="AD20">
        <f t="shared" si="13"/>
        <v>-2.7999999999999997E-2</v>
      </c>
      <c r="AE20" s="1">
        <v>0.14899999999999999</v>
      </c>
      <c r="AF20">
        <f t="shared" si="14"/>
        <v>-6.7000000000000004E-2</v>
      </c>
      <c r="AG20">
        <v>0.14699999999999999</v>
      </c>
      <c r="AH20">
        <f t="shared" si="15"/>
        <v>-1.7000000000000015E-2</v>
      </c>
      <c r="AI20">
        <v>0.158</v>
      </c>
      <c r="AJ20">
        <f t="shared" si="16"/>
        <v>-1.7999999999999988E-2</v>
      </c>
      <c r="AK20">
        <v>0.152</v>
      </c>
      <c r="AL20">
        <f t="shared" si="17"/>
        <v>-5.1000000000000018E-2</v>
      </c>
      <c r="AM20" s="1">
        <v>0.11</v>
      </c>
      <c r="AN20" s="2">
        <f t="shared" si="18"/>
        <v>-1.0000000000000009E-3</v>
      </c>
      <c r="AO20" s="1">
        <v>0.13</v>
      </c>
      <c r="AP20" s="2">
        <f t="shared" si="19"/>
        <v>2.1000000000000005E-2</v>
      </c>
      <c r="AQ20" s="1">
        <v>0.16600000000000001</v>
      </c>
      <c r="AR20" s="2">
        <f t="shared" si="20"/>
        <v>5.4000000000000006E-2</v>
      </c>
      <c r="AS20" s="1">
        <v>0.77400000000000002</v>
      </c>
      <c r="AT20" s="2">
        <f t="shared" si="21"/>
        <v>0.57800000000000007</v>
      </c>
      <c r="AU20" s="1">
        <v>0.8</v>
      </c>
      <c r="AV20" s="2">
        <f t="shared" si="22"/>
        <v>0.60200000000000009</v>
      </c>
      <c r="AW20" s="1">
        <v>0.80700000000000005</v>
      </c>
      <c r="AX20" s="2">
        <f t="shared" si="23"/>
        <v>0.60100000000000009</v>
      </c>
      <c r="AY20" s="1">
        <v>1.218</v>
      </c>
      <c r="AZ20">
        <f t="shared" si="24"/>
        <v>1.0089999999999999</v>
      </c>
      <c r="BA20" s="1">
        <v>1.238</v>
      </c>
      <c r="BB20">
        <f t="shared" si="25"/>
        <v>1.032</v>
      </c>
      <c r="BC20" s="1">
        <v>1.218</v>
      </c>
      <c r="BD20">
        <f t="shared" si="26"/>
        <v>1.004</v>
      </c>
      <c r="BE20" s="1">
        <v>1.3839999999999999</v>
      </c>
      <c r="BF20">
        <f t="shared" si="27"/>
        <v>1.1669999999999998</v>
      </c>
      <c r="BG20" s="1">
        <v>1.3879999999999999</v>
      </c>
      <c r="BH20">
        <f t="shared" si="28"/>
        <v>1.1829999999999998</v>
      </c>
      <c r="BI20" s="1">
        <v>1.4339999999999999</v>
      </c>
      <c r="BJ20">
        <f t="shared" si="29"/>
        <v>1.228</v>
      </c>
      <c r="BK20" s="1">
        <v>1.3220000000000001</v>
      </c>
      <c r="BL20">
        <f t="shared" si="30"/>
        <v>1.103</v>
      </c>
      <c r="BM20" s="1">
        <v>1.4790000000000001</v>
      </c>
      <c r="BN20">
        <f t="shared" si="31"/>
        <v>1.2630000000000001</v>
      </c>
      <c r="BO20" s="1">
        <v>1.4019999999999999</v>
      </c>
      <c r="BP20">
        <f t="shared" si="32"/>
        <v>1.1809999999999998</v>
      </c>
      <c r="BQ20">
        <v>1.3420000000000001</v>
      </c>
      <c r="BR20">
        <f t="shared" si="33"/>
        <v>1.123</v>
      </c>
      <c r="BS20">
        <v>1.393</v>
      </c>
      <c r="BT20">
        <f t="shared" si="34"/>
        <v>1.1910000000000001</v>
      </c>
      <c r="BU20">
        <v>1.3540000000000001</v>
      </c>
      <c r="BV20">
        <f t="shared" si="35"/>
        <v>1.1300000000000001</v>
      </c>
      <c r="BW20" s="1">
        <v>0.155</v>
      </c>
      <c r="BX20" s="2">
        <f t="shared" si="36"/>
        <v>-4.0000000000000036E-3</v>
      </c>
      <c r="BY20" s="1">
        <v>0.115</v>
      </c>
      <c r="BZ20" s="2">
        <f t="shared" si="37"/>
        <v>1.100000000000001E-2</v>
      </c>
      <c r="CA20" s="1">
        <v>0.16900000000000001</v>
      </c>
      <c r="CB20" s="2">
        <f t="shared" si="38"/>
        <v>-0.31999999999999995</v>
      </c>
      <c r="CC20" s="1">
        <v>0.79800000000000004</v>
      </c>
      <c r="CD20" s="2">
        <f t="shared" si="39"/>
        <v>0.58300000000000007</v>
      </c>
      <c r="CE20" s="1">
        <v>0.77800000000000002</v>
      </c>
      <c r="CF20" s="2">
        <f t="shared" si="40"/>
        <v>0.59600000000000009</v>
      </c>
      <c r="CG20" s="1">
        <v>0.81299999999999994</v>
      </c>
      <c r="CH20" s="2">
        <f t="shared" si="41"/>
        <v>0.62199999999999989</v>
      </c>
      <c r="CI20" s="1">
        <v>1.206</v>
      </c>
      <c r="CJ20">
        <f t="shared" si="42"/>
        <v>0.996</v>
      </c>
      <c r="CK20" s="1">
        <v>1.1910000000000001</v>
      </c>
      <c r="CL20">
        <f t="shared" si="43"/>
        <v>0.996</v>
      </c>
      <c r="CM20" s="1">
        <v>1.19</v>
      </c>
      <c r="CN20">
        <f t="shared" si="44"/>
        <v>0.98299999999999998</v>
      </c>
      <c r="CO20" s="1">
        <v>1.2929999999999999</v>
      </c>
      <c r="CP20">
        <f t="shared" si="45"/>
        <v>1.0759999999999998</v>
      </c>
      <c r="CQ20" s="1">
        <v>1.3620000000000001</v>
      </c>
      <c r="CR20">
        <f t="shared" si="46"/>
        <v>1.163</v>
      </c>
      <c r="CS20" s="1">
        <v>1.3340000000000001</v>
      </c>
      <c r="CT20">
        <f t="shared" si="47"/>
        <v>1.1340000000000001</v>
      </c>
      <c r="CU20" s="1">
        <v>1.2649999999999999</v>
      </c>
      <c r="CV20">
        <f t="shared" si="48"/>
        <v>1.0449999999999999</v>
      </c>
      <c r="CW20" s="1">
        <v>1.452</v>
      </c>
      <c r="CX20">
        <f t="shared" si="49"/>
        <v>1.246</v>
      </c>
      <c r="CY20" s="1">
        <v>1.3759999999999999</v>
      </c>
      <c r="CZ20">
        <f t="shared" si="50"/>
        <v>1.1679999999999999</v>
      </c>
      <c r="DA20">
        <v>1.2909999999999999</v>
      </c>
      <c r="DB20">
        <f t="shared" si="51"/>
        <v>1.075</v>
      </c>
      <c r="DC20">
        <v>1.331</v>
      </c>
      <c r="DD20">
        <f t="shared" si="52"/>
        <v>1.1279999999999999</v>
      </c>
      <c r="DE20">
        <v>1.3620000000000001</v>
      </c>
      <c r="DF20">
        <f t="shared" si="53"/>
        <v>1.157</v>
      </c>
    </row>
    <row r="21" spans="1:110">
      <c r="A21" t="s">
        <v>93</v>
      </c>
      <c r="B21" t="s">
        <v>94</v>
      </c>
      <c r="C21" s="1">
        <v>9.7000000000000003E-2</v>
      </c>
      <c r="D21" s="1">
        <f t="shared" si="0"/>
        <v>-2.6999999999999996E-2</v>
      </c>
      <c r="E21" s="1">
        <v>0.106</v>
      </c>
      <c r="F21">
        <f t="shared" si="1"/>
        <v>-1.1999999999999997E-2</v>
      </c>
      <c r="G21" s="1">
        <v>9.8000000000000004E-2</v>
      </c>
      <c r="H21">
        <f t="shared" si="2"/>
        <v>-3.6000000000000004E-2</v>
      </c>
      <c r="I21" s="1">
        <v>0.182</v>
      </c>
      <c r="J21">
        <f t="shared" si="3"/>
        <v>1.0000000000000009E-2</v>
      </c>
      <c r="K21" s="1">
        <v>0.217</v>
      </c>
      <c r="L21">
        <f t="shared" si="4"/>
        <v>4.1000000000000009E-2</v>
      </c>
      <c r="M21" s="1">
        <v>0.217</v>
      </c>
      <c r="N21">
        <f t="shared" si="5"/>
        <v>4.9999999999999989E-2</v>
      </c>
      <c r="O21" s="1">
        <v>0.189</v>
      </c>
      <c r="P21">
        <f t="shared" si="6"/>
        <v>2.1999999999999992E-2</v>
      </c>
      <c r="Q21" s="1">
        <v>0.23100000000000001</v>
      </c>
      <c r="R21">
        <f t="shared" si="7"/>
        <v>0.06</v>
      </c>
      <c r="S21" s="1">
        <v>0.19500000000000001</v>
      </c>
      <c r="T21">
        <f t="shared" si="8"/>
        <v>-1.0000000000000009E-3</v>
      </c>
      <c r="U21" s="1">
        <v>0.25700000000000001</v>
      </c>
      <c r="V21">
        <f t="shared" si="9"/>
        <v>6.7000000000000004E-2</v>
      </c>
      <c r="W21" s="1">
        <v>0.23200000000000001</v>
      </c>
      <c r="X21">
        <f t="shared" si="10"/>
        <v>4.8000000000000015E-2</v>
      </c>
      <c r="Y21" s="1">
        <v>0.19800000000000001</v>
      </c>
      <c r="Z21">
        <f t="shared" si="11"/>
        <v>-2.8999999999999998E-2</v>
      </c>
      <c r="AA21" s="1">
        <v>0.24099999999999999</v>
      </c>
      <c r="AB21">
        <f t="shared" si="12"/>
        <v>4.8999999999999988E-2</v>
      </c>
      <c r="AC21" s="1">
        <v>0.22800000000000001</v>
      </c>
      <c r="AD21">
        <f t="shared" si="13"/>
        <v>5.3000000000000019E-2</v>
      </c>
      <c r="AE21" s="1">
        <v>0.184</v>
      </c>
      <c r="AF21">
        <f t="shared" si="14"/>
        <v>-3.2000000000000001E-2</v>
      </c>
      <c r="AG21">
        <v>0.23300000000000001</v>
      </c>
      <c r="AH21">
        <f t="shared" si="15"/>
        <v>6.9000000000000006E-2</v>
      </c>
      <c r="AI21">
        <v>0.216</v>
      </c>
      <c r="AJ21">
        <f t="shared" si="16"/>
        <v>4.0000000000000008E-2</v>
      </c>
      <c r="AK21">
        <v>0.17599999999999999</v>
      </c>
      <c r="AL21">
        <f t="shared" si="17"/>
        <v>-2.7000000000000024E-2</v>
      </c>
      <c r="AM21" s="1">
        <v>0.11899999999999999</v>
      </c>
      <c r="AN21" s="2">
        <f t="shared" si="18"/>
        <v>7.9999999999999932E-3</v>
      </c>
      <c r="AO21" s="1">
        <v>0.106</v>
      </c>
      <c r="AP21" s="2">
        <f t="shared" si="19"/>
        <v>-3.0000000000000027E-3</v>
      </c>
      <c r="AQ21" s="1">
        <v>0.14499999999999999</v>
      </c>
      <c r="AR21" s="2">
        <f t="shared" si="20"/>
        <v>3.2999999999999988E-2</v>
      </c>
      <c r="AS21" s="1">
        <v>0.23</v>
      </c>
      <c r="AT21" s="2">
        <f t="shared" si="21"/>
        <v>3.4000000000000002E-2</v>
      </c>
      <c r="AU21" s="1">
        <v>0.23799999999999999</v>
      </c>
      <c r="AV21" s="2">
        <f t="shared" si="22"/>
        <v>3.999999999999998E-2</v>
      </c>
      <c r="AW21" s="1">
        <v>0.28799999999999998</v>
      </c>
      <c r="AX21" s="2">
        <f t="shared" si="23"/>
        <v>8.199999999999999E-2</v>
      </c>
      <c r="AY21" s="1">
        <v>0.24399999999999999</v>
      </c>
      <c r="AZ21">
        <f t="shared" si="24"/>
        <v>3.5000000000000003E-2</v>
      </c>
      <c r="BA21" s="1">
        <v>0.251</v>
      </c>
      <c r="BB21">
        <f t="shared" si="25"/>
        <v>4.5000000000000012E-2</v>
      </c>
      <c r="BC21" s="1">
        <v>0.253</v>
      </c>
      <c r="BD21">
        <f t="shared" si="26"/>
        <v>3.9000000000000007E-2</v>
      </c>
      <c r="BE21" s="1">
        <v>0.25</v>
      </c>
      <c r="BF21">
        <f t="shared" si="27"/>
        <v>3.3000000000000002E-2</v>
      </c>
      <c r="BG21" s="1">
        <v>0.25</v>
      </c>
      <c r="BH21">
        <f t="shared" si="28"/>
        <v>4.5000000000000012E-2</v>
      </c>
      <c r="BI21" s="1">
        <v>0.26900000000000002</v>
      </c>
      <c r="BJ21">
        <f t="shared" si="29"/>
        <v>6.3000000000000028E-2</v>
      </c>
      <c r="BK21" s="1">
        <v>0.24199999999999999</v>
      </c>
      <c r="BL21">
        <f t="shared" si="30"/>
        <v>2.2999999999999993E-2</v>
      </c>
      <c r="BM21" s="1">
        <v>0.246</v>
      </c>
      <c r="BN21">
        <f t="shared" si="31"/>
        <v>0.03</v>
      </c>
      <c r="BO21" s="1">
        <v>0.253</v>
      </c>
      <c r="BP21">
        <f t="shared" si="32"/>
        <v>3.2000000000000001E-2</v>
      </c>
      <c r="BQ21">
        <v>0.245</v>
      </c>
      <c r="BR21">
        <f t="shared" si="33"/>
        <v>2.5999999999999995E-2</v>
      </c>
      <c r="BS21">
        <v>0.249</v>
      </c>
      <c r="BT21">
        <f t="shared" si="34"/>
        <v>4.6999999999999986E-2</v>
      </c>
      <c r="BU21">
        <v>0.27800000000000002</v>
      </c>
      <c r="BV21">
        <f t="shared" si="35"/>
        <v>5.400000000000002E-2</v>
      </c>
      <c r="BW21" s="1">
        <v>0.10100000000000001</v>
      </c>
      <c r="BX21" s="2">
        <f t="shared" si="36"/>
        <v>-5.7999999999999996E-2</v>
      </c>
      <c r="BY21" s="1">
        <v>0.126</v>
      </c>
      <c r="BZ21" s="2">
        <f t="shared" si="37"/>
        <v>2.2000000000000006E-2</v>
      </c>
      <c r="CA21" s="1">
        <v>0.15</v>
      </c>
      <c r="CB21" s="2">
        <f t="shared" si="38"/>
        <v>-0.33899999999999997</v>
      </c>
      <c r="CC21" s="1">
        <v>0.21199999999999999</v>
      </c>
      <c r="CD21" s="2">
        <f t="shared" si="39"/>
        <v>-3.0000000000000027E-3</v>
      </c>
      <c r="CE21" s="1">
        <v>0.217</v>
      </c>
      <c r="CF21" s="2">
        <f t="shared" si="40"/>
        <v>3.5000000000000003E-2</v>
      </c>
      <c r="CG21" s="1">
        <v>0.28699999999999998</v>
      </c>
      <c r="CH21" s="2">
        <f t="shared" si="41"/>
        <v>9.5999999999999974E-2</v>
      </c>
      <c r="CI21" s="1">
        <v>0.222</v>
      </c>
      <c r="CJ21">
        <f t="shared" si="42"/>
        <v>1.2000000000000011E-2</v>
      </c>
      <c r="CK21" s="1">
        <v>0.222</v>
      </c>
      <c r="CL21">
        <f t="shared" si="43"/>
        <v>2.6999999999999996E-2</v>
      </c>
      <c r="CM21" s="1">
        <v>0.24199999999999999</v>
      </c>
      <c r="CN21">
        <f t="shared" si="44"/>
        <v>3.5000000000000003E-2</v>
      </c>
      <c r="CO21" s="1">
        <v>0.22900000000000001</v>
      </c>
      <c r="CP21">
        <f t="shared" si="45"/>
        <v>1.2000000000000011E-2</v>
      </c>
      <c r="CQ21" s="1">
        <v>0.223</v>
      </c>
      <c r="CR21">
        <f t="shared" si="46"/>
        <v>2.3999999999999994E-2</v>
      </c>
      <c r="CS21" s="1">
        <v>0.23899999999999999</v>
      </c>
      <c r="CT21">
        <f t="shared" si="47"/>
        <v>3.8999999999999979E-2</v>
      </c>
      <c r="CU21" s="1">
        <v>0.216</v>
      </c>
      <c r="CV21">
        <f t="shared" si="48"/>
        <v>-4.0000000000000036E-3</v>
      </c>
      <c r="CW21" s="1">
        <v>0.214</v>
      </c>
      <c r="CX21">
        <f t="shared" si="49"/>
        <v>8.0000000000000071E-3</v>
      </c>
      <c r="CY21" s="1">
        <v>0.23200000000000001</v>
      </c>
      <c r="CZ21">
        <f t="shared" si="50"/>
        <v>2.4000000000000021E-2</v>
      </c>
      <c r="DA21">
        <v>0.21299999999999999</v>
      </c>
      <c r="DB21">
        <f t="shared" si="51"/>
        <v>-3.0000000000000027E-3</v>
      </c>
      <c r="DC21">
        <v>0.20699999999999999</v>
      </c>
      <c r="DD21">
        <f t="shared" si="52"/>
        <v>3.9999999999999758E-3</v>
      </c>
      <c r="DE21">
        <v>0.252</v>
      </c>
      <c r="DF21">
        <f t="shared" si="53"/>
        <v>4.7000000000000014E-2</v>
      </c>
    </row>
    <row r="22" spans="1:110">
      <c r="A22" t="s">
        <v>95</v>
      </c>
      <c r="B22" t="s">
        <v>96</v>
      </c>
      <c r="C22" s="1">
        <v>0.128</v>
      </c>
      <c r="D22" s="1">
        <f t="shared" si="0"/>
        <v>4.0000000000000036E-3</v>
      </c>
      <c r="E22" s="1">
        <v>0.108</v>
      </c>
      <c r="F22">
        <f t="shared" si="1"/>
        <v>-9.999999999999995E-3</v>
      </c>
      <c r="G22" s="1">
        <v>0.107</v>
      </c>
      <c r="H22">
        <f t="shared" si="2"/>
        <v>-2.700000000000001E-2</v>
      </c>
      <c r="I22" s="1">
        <v>0.94499999999999995</v>
      </c>
      <c r="J22">
        <f t="shared" si="3"/>
        <v>0.77299999999999991</v>
      </c>
      <c r="K22" s="1">
        <v>1.0389999999999999</v>
      </c>
      <c r="L22">
        <f t="shared" si="4"/>
        <v>0.86299999999999999</v>
      </c>
      <c r="M22" s="1">
        <v>0.97499999999999998</v>
      </c>
      <c r="N22">
        <f t="shared" si="5"/>
        <v>0.80799999999999994</v>
      </c>
      <c r="O22" s="1">
        <v>1.3049999999999999</v>
      </c>
      <c r="P22">
        <f t="shared" si="6"/>
        <v>1.1379999999999999</v>
      </c>
      <c r="Q22" s="1">
        <v>1.3919999999999999</v>
      </c>
      <c r="R22">
        <f t="shared" si="7"/>
        <v>1.2209999999999999</v>
      </c>
      <c r="S22" s="1">
        <v>1.306</v>
      </c>
      <c r="T22">
        <f t="shared" si="8"/>
        <v>1.1100000000000001</v>
      </c>
      <c r="U22" s="1">
        <v>1.504</v>
      </c>
      <c r="V22">
        <f t="shared" si="9"/>
        <v>1.3140000000000001</v>
      </c>
      <c r="W22" s="1">
        <v>1.601</v>
      </c>
      <c r="X22">
        <f t="shared" si="10"/>
        <v>1.417</v>
      </c>
      <c r="Y22" s="1">
        <v>1.4710000000000001</v>
      </c>
      <c r="Z22">
        <f t="shared" si="11"/>
        <v>1.244</v>
      </c>
      <c r="AA22" s="1">
        <v>1.6659999999999999</v>
      </c>
      <c r="AB22">
        <f t="shared" si="12"/>
        <v>1.474</v>
      </c>
      <c r="AC22" s="1">
        <v>1.784</v>
      </c>
      <c r="AD22">
        <f t="shared" si="13"/>
        <v>1.609</v>
      </c>
      <c r="AE22" s="1">
        <v>1.651</v>
      </c>
      <c r="AF22">
        <f t="shared" si="14"/>
        <v>1.4350000000000001</v>
      </c>
      <c r="AG22">
        <v>1.7450000000000001</v>
      </c>
      <c r="AH22">
        <f t="shared" si="15"/>
        <v>1.5810000000000002</v>
      </c>
      <c r="AI22">
        <v>1.8420000000000001</v>
      </c>
      <c r="AJ22">
        <f t="shared" si="16"/>
        <v>1.6660000000000001</v>
      </c>
      <c r="AK22">
        <v>1.736</v>
      </c>
      <c r="AL22">
        <f t="shared" si="17"/>
        <v>1.5329999999999999</v>
      </c>
      <c r="AM22" s="1">
        <v>0.106</v>
      </c>
      <c r="AN22" s="2">
        <f t="shared" si="18"/>
        <v>-5.0000000000000044E-3</v>
      </c>
      <c r="AO22" s="1">
        <v>0.113</v>
      </c>
      <c r="AP22" s="2">
        <f t="shared" si="19"/>
        <v>4.0000000000000036E-3</v>
      </c>
      <c r="AQ22" s="1">
        <v>0.14399999999999999</v>
      </c>
      <c r="AR22" s="2">
        <f t="shared" si="20"/>
        <v>3.1999999999999987E-2</v>
      </c>
      <c r="AS22" s="1">
        <v>1.026</v>
      </c>
      <c r="AT22" s="2">
        <f t="shared" si="21"/>
        <v>0.83000000000000007</v>
      </c>
      <c r="AU22" s="1">
        <v>1.085</v>
      </c>
      <c r="AV22" s="2">
        <f t="shared" si="22"/>
        <v>0.88700000000000001</v>
      </c>
      <c r="AW22" s="1">
        <v>1.083</v>
      </c>
      <c r="AX22" s="2">
        <f t="shared" si="23"/>
        <v>0.877</v>
      </c>
      <c r="AY22" s="1">
        <v>1.4750000000000001</v>
      </c>
      <c r="AZ22">
        <f t="shared" si="24"/>
        <v>1.266</v>
      </c>
      <c r="BA22" s="1">
        <v>1.474</v>
      </c>
      <c r="BB22">
        <f t="shared" si="25"/>
        <v>1.268</v>
      </c>
      <c r="BC22" s="1">
        <v>1.4950000000000001</v>
      </c>
      <c r="BD22">
        <f t="shared" si="26"/>
        <v>1.2810000000000001</v>
      </c>
      <c r="BE22" s="1">
        <v>1.579</v>
      </c>
      <c r="BF22">
        <f t="shared" si="27"/>
        <v>1.3619999999999999</v>
      </c>
      <c r="BG22" s="1">
        <v>1.5720000000000001</v>
      </c>
      <c r="BH22">
        <f t="shared" si="28"/>
        <v>1.367</v>
      </c>
      <c r="BI22" s="1">
        <v>1.6279999999999999</v>
      </c>
      <c r="BJ22">
        <f t="shared" si="29"/>
        <v>1.4219999999999999</v>
      </c>
      <c r="BK22" s="1">
        <v>1.6140000000000001</v>
      </c>
      <c r="BL22">
        <f t="shared" si="30"/>
        <v>1.395</v>
      </c>
      <c r="BM22" s="1">
        <v>1.6120000000000001</v>
      </c>
      <c r="BN22">
        <f t="shared" si="31"/>
        <v>1.3960000000000001</v>
      </c>
      <c r="BO22" s="1">
        <v>1.66</v>
      </c>
      <c r="BP22">
        <f t="shared" si="32"/>
        <v>1.4389999999999998</v>
      </c>
      <c r="BQ22">
        <v>1.728</v>
      </c>
      <c r="BR22">
        <f t="shared" si="33"/>
        <v>1.5089999999999999</v>
      </c>
      <c r="BS22">
        <v>1.696</v>
      </c>
      <c r="BT22">
        <f t="shared" si="34"/>
        <v>1.494</v>
      </c>
      <c r="BU22">
        <v>1.714</v>
      </c>
      <c r="BV22">
        <f t="shared" si="35"/>
        <v>1.49</v>
      </c>
      <c r="BW22" s="1">
        <v>0.11799999999999999</v>
      </c>
      <c r="BX22" s="2">
        <f t="shared" si="36"/>
        <v>-4.1000000000000009E-2</v>
      </c>
      <c r="BY22" s="1">
        <v>0.107</v>
      </c>
      <c r="BZ22" s="2">
        <f t="shared" si="37"/>
        <v>3.0000000000000027E-3</v>
      </c>
      <c r="CA22" s="1">
        <v>0.112</v>
      </c>
      <c r="CB22" s="2">
        <f t="shared" si="38"/>
        <v>-0.377</v>
      </c>
      <c r="CC22" s="1">
        <v>1.0649999999999999</v>
      </c>
      <c r="CD22" s="2">
        <f t="shared" si="39"/>
        <v>0.85</v>
      </c>
      <c r="CE22" s="1">
        <v>1.0209999999999999</v>
      </c>
      <c r="CF22" s="2">
        <f t="shared" si="40"/>
        <v>0.83899999999999997</v>
      </c>
      <c r="CG22" s="1">
        <v>1.028</v>
      </c>
      <c r="CH22" s="2">
        <f t="shared" si="41"/>
        <v>0.83699999999999997</v>
      </c>
      <c r="CI22" s="1">
        <v>1.3819999999999999</v>
      </c>
      <c r="CJ22">
        <f t="shared" si="42"/>
        <v>1.1719999999999999</v>
      </c>
      <c r="CK22" s="1">
        <v>1.4019999999999999</v>
      </c>
      <c r="CL22">
        <f t="shared" si="43"/>
        <v>1.2069999999999999</v>
      </c>
      <c r="CM22" s="1">
        <v>1.3120000000000001</v>
      </c>
      <c r="CN22">
        <f t="shared" si="44"/>
        <v>1.105</v>
      </c>
      <c r="CO22" s="1">
        <v>1.5229999999999999</v>
      </c>
      <c r="CP22">
        <f t="shared" si="45"/>
        <v>1.3059999999999998</v>
      </c>
      <c r="CQ22" s="1">
        <v>1.512</v>
      </c>
      <c r="CR22">
        <f t="shared" si="46"/>
        <v>1.3129999999999999</v>
      </c>
      <c r="CS22" s="1">
        <v>1.468</v>
      </c>
      <c r="CT22">
        <f t="shared" si="47"/>
        <v>1.268</v>
      </c>
      <c r="CU22" s="1">
        <v>1.5589999999999999</v>
      </c>
      <c r="CV22">
        <f t="shared" si="48"/>
        <v>1.339</v>
      </c>
      <c r="CW22" s="1">
        <v>1.5589999999999999</v>
      </c>
      <c r="CX22">
        <f t="shared" si="49"/>
        <v>1.353</v>
      </c>
      <c r="CY22" s="1">
        <v>1.546</v>
      </c>
      <c r="CZ22">
        <f t="shared" si="50"/>
        <v>1.3380000000000001</v>
      </c>
      <c r="DA22">
        <v>1.62</v>
      </c>
      <c r="DB22">
        <f t="shared" si="51"/>
        <v>1.4040000000000001</v>
      </c>
      <c r="DC22">
        <v>1.619</v>
      </c>
      <c r="DD22">
        <f t="shared" si="52"/>
        <v>1.4159999999999999</v>
      </c>
      <c r="DE22">
        <v>1.59</v>
      </c>
      <c r="DF22">
        <f t="shared" si="53"/>
        <v>1.385</v>
      </c>
    </row>
    <row r="23" spans="1:110">
      <c r="A23" t="s">
        <v>97</v>
      </c>
      <c r="B23" t="s">
        <v>98</v>
      </c>
      <c r="C23" s="1">
        <v>0.14399999999999999</v>
      </c>
      <c r="D23" s="1">
        <f t="shared" si="0"/>
        <v>1.999999999999999E-2</v>
      </c>
      <c r="E23" s="1">
        <v>0.13100000000000001</v>
      </c>
      <c r="F23">
        <f t="shared" si="1"/>
        <v>1.3000000000000012E-2</v>
      </c>
      <c r="G23" s="1">
        <v>0.11899999999999999</v>
      </c>
      <c r="H23">
        <f t="shared" si="2"/>
        <v>-1.5000000000000013E-2</v>
      </c>
      <c r="I23" s="1">
        <v>0.14000000000000001</v>
      </c>
      <c r="J23">
        <f t="shared" si="3"/>
        <v>-3.1999999999999973E-2</v>
      </c>
      <c r="K23" s="1">
        <v>0.16700000000000001</v>
      </c>
      <c r="L23">
        <f t="shared" si="4"/>
        <v>-8.9999999999999802E-3</v>
      </c>
      <c r="M23" s="1">
        <v>0.151</v>
      </c>
      <c r="N23">
        <f t="shared" si="5"/>
        <v>-1.6000000000000014E-2</v>
      </c>
      <c r="O23" s="1">
        <v>0.14000000000000001</v>
      </c>
      <c r="P23">
        <f t="shared" si="6"/>
        <v>-2.6999999999999996E-2</v>
      </c>
      <c r="Q23" s="1">
        <v>0.48099999999999998</v>
      </c>
      <c r="R23">
        <f t="shared" si="7"/>
        <v>0.30999999999999994</v>
      </c>
      <c r="S23" s="1">
        <v>0.373</v>
      </c>
      <c r="T23">
        <f t="shared" si="8"/>
        <v>0.17699999999999999</v>
      </c>
      <c r="U23" s="1">
        <v>0.17199999999999999</v>
      </c>
      <c r="V23">
        <f t="shared" si="9"/>
        <v>-1.8000000000000016E-2</v>
      </c>
      <c r="W23" s="1">
        <v>0.70699999999999996</v>
      </c>
      <c r="X23">
        <f t="shared" si="10"/>
        <v>0.52299999999999991</v>
      </c>
      <c r="Y23" s="1">
        <v>0.61299999999999999</v>
      </c>
      <c r="Z23">
        <f t="shared" si="11"/>
        <v>0.38600000000000001</v>
      </c>
      <c r="AA23" s="1">
        <v>0.223</v>
      </c>
      <c r="AB23">
        <f t="shared" si="12"/>
        <v>3.1E-2</v>
      </c>
      <c r="AC23" s="1">
        <v>0.81</v>
      </c>
      <c r="AD23">
        <f t="shared" si="13"/>
        <v>0.63500000000000001</v>
      </c>
      <c r="AE23" s="1">
        <v>0.7</v>
      </c>
      <c r="AF23">
        <f t="shared" si="14"/>
        <v>0.48399999999999999</v>
      </c>
      <c r="AG23">
        <v>0.28799999999999998</v>
      </c>
      <c r="AH23">
        <f t="shared" si="15"/>
        <v>0.12399999999999997</v>
      </c>
      <c r="AI23">
        <v>0.84299999999999997</v>
      </c>
      <c r="AJ23">
        <f t="shared" si="16"/>
        <v>0.66700000000000004</v>
      </c>
      <c r="AK23">
        <v>0.74199999999999999</v>
      </c>
      <c r="AL23">
        <f t="shared" si="17"/>
        <v>0.53899999999999992</v>
      </c>
      <c r="AM23" s="1">
        <v>0.11600000000000001</v>
      </c>
      <c r="AN23" s="2">
        <f t="shared" si="18"/>
        <v>5.0000000000000044E-3</v>
      </c>
      <c r="AO23" s="1">
        <v>0.11899999999999999</v>
      </c>
      <c r="AP23" s="2">
        <f t="shared" si="19"/>
        <v>9.999999999999995E-3</v>
      </c>
      <c r="AQ23" s="1">
        <v>0.14799999999999999</v>
      </c>
      <c r="AR23" s="2">
        <f t="shared" si="20"/>
        <v>3.599999999999999E-2</v>
      </c>
      <c r="AS23" s="1">
        <v>0.20399999999999999</v>
      </c>
      <c r="AT23" s="2">
        <f t="shared" si="21"/>
        <v>7.9999999999999793E-3</v>
      </c>
      <c r="AU23" s="1">
        <v>0.20799999999999999</v>
      </c>
      <c r="AV23" s="2">
        <f t="shared" si="22"/>
        <v>9.9999999999999811E-3</v>
      </c>
      <c r="AW23" s="1">
        <v>0.20799999999999999</v>
      </c>
      <c r="AX23" s="2">
        <f t="shared" si="23"/>
        <v>2.0000000000000018E-3</v>
      </c>
      <c r="AY23" s="1">
        <v>0.495</v>
      </c>
      <c r="AZ23">
        <f t="shared" si="24"/>
        <v>0.28600000000000003</v>
      </c>
      <c r="BA23" s="1">
        <v>0.50800000000000001</v>
      </c>
      <c r="BB23">
        <f t="shared" si="25"/>
        <v>0.30200000000000005</v>
      </c>
      <c r="BC23" s="1">
        <v>0.45800000000000002</v>
      </c>
      <c r="BD23">
        <f t="shared" si="26"/>
        <v>0.24400000000000002</v>
      </c>
      <c r="BE23" s="1">
        <v>0.68400000000000005</v>
      </c>
      <c r="BF23">
        <f t="shared" si="27"/>
        <v>0.46700000000000008</v>
      </c>
      <c r="BG23" s="1">
        <v>0.71099999999999997</v>
      </c>
      <c r="BH23">
        <f t="shared" si="28"/>
        <v>0.50600000000000001</v>
      </c>
      <c r="BI23" s="1">
        <v>0.65500000000000003</v>
      </c>
      <c r="BJ23">
        <f t="shared" si="29"/>
        <v>0.44900000000000007</v>
      </c>
      <c r="BK23" s="1">
        <v>0.76400000000000001</v>
      </c>
      <c r="BL23">
        <f t="shared" si="30"/>
        <v>0.54500000000000004</v>
      </c>
      <c r="BM23" s="1">
        <v>0.77700000000000002</v>
      </c>
      <c r="BN23">
        <f t="shared" si="31"/>
        <v>0.56100000000000005</v>
      </c>
      <c r="BO23" s="1">
        <v>0.73699999999999999</v>
      </c>
      <c r="BP23">
        <f t="shared" si="32"/>
        <v>0.51600000000000001</v>
      </c>
      <c r="BQ23">
        <v>0.79100000000000004</v>
      </c>
      <c r="BR23">
        <f t="shared" si="33"/>
        <v>0.57200000000000006</v>
      </c>
      <c r="BS23">
        <v>0.8</v>
      </c>
      <c r="BT23">
        <f t="shared" si="34"/>
        <v>0.59800000000000009</v>
      </c>
      <c r="BU23">
        <v>0.76400000000000001</v>
      </c>
      <c r="BV23">
        <f t="shared" si="35"/>
        <v>0.54</v>
      </c>
      <c r="BW23" s="1">
        <v>0.151</v>
      </c>
      <c r="BX23" s="2">
        <f t="shared" si="36"/>
        <v>-8.0000000000000071E-3</v>
      </c>
      <c r="BY23" s="1">
        <v>0.124</v>
      </c>
      <c r="BZ23" s="2">
        <f t="shared" si="37"/>
        <v>2.0000000000000004E-2</v>
      </c>
      <c r="CA23" s="1">
        <v>0.14199999999999999</v>
      </c>
      <c r="CB23" s="2">
        <f t="shared" si="38"/>
        <v>-0.34699999999999998</v>
      </c>
      <c r="CC23" s="1">
        <v>0.13500000000000001</v>
      </c>
      <c r="CD23" s="2">
        <f t="shared" si="39"/>
        <v>-7.9999999999999988E-2</v>
      </c>
      <c r="CE23" s="1">
        <v>0.18099999999999999</v>
      </c>
      <c r="CF23" s="2">
        <f t="shared" si="40"/>
        <v>-1.0000000000000009E-3</v>
      </c>
      <c r="CG23" s="1">
        <v>0.161</v>
      </c>
      <c r="CH23" s="2">
        <f t="shared" si="41"/>
        <v>-0.03</v>
      </c>
      <c r="CI23" s="1">
        <v>0.21299999999999999</v>
      </c>
      <c r="CJ23">
        <f t="shared" si="42"/>
        <v>3.0000000000000027E-3</v>
      </c>
      <c r="CK23" s="1">
        <v>0.54200000000000004</v>
      </c>
      <c r="CL23">
        <f t="shared" si="43"/>
        <v>0.34700000000000003</v>
      </c>
      <c r="CM23" s="1">
        <v>0.24299999999999999</v>
      </c>
      <c r="CN23">
        <f t="shared" si="44"/>
        <v>3.6000000000000004E-2</v>
      </c>
      <c r="CO23" s="1">
        <v>0.27400000000000002</v>
      </c>
      <c r="CP23">
        <f t="shared" si="45"/>
        <v>5.7000000000000023E-2</v>
      </c>
      <c r="CQ23" s="1">
        <v>0.73299999999999998</v>
      </c>
      <c r="CR23">
        <f t="shared" si="46"/>
        <v>0.53400000000000003</v>
      </c>
      <c r="CS23" s="1">
        <v>0.42499999999999999</v>
      </c>
      <c r="CT23">
        <f t="shared" si="47"/>
        <v>0.22499999999999998</v>
      </c>
      <c r="CU23" s="1">
        <v>0.33500000000000002</v>
      </c>
      <c r="CV23">
        <f t="shared" si="48"/>
        <v>0.11500000000000002</v>
      </c>
      <c r="CW23" s="1">
        <v>0.78700000000000003</v>
      </c>
      <c r="CX23">
        <f t="shared" si="49"/>
        <v>0.58100000000000007</v>
      </c>
      <c r="CY23" s="1">
        <v>0.54200000000000004</v>
      </c>
      <c r="CZ23">
        <f t="shared" si="50"/>
        <v>0.33400000000000007</v>
      </c>
      <c r="DA23">
        <v>0.38800000000000001</v>
      </c>
      <c r="DB23">
        <f t="shared" si="51"/>
        <v>0.17200000000000001</v>
      </c>
      <c r="DC23">
        <v>0.81200000000000006</v>
      </c>
      <c r="DD23">
        <f t="shared" si="52"/>
        <v>0.60899999999999999</v>
      </c>
      <c r="DE23">
        <v>0.57299999999999995</v>
      </c>
      <c r="DF23">
        <f t="shared" si="53"/>
        <v>0.36799999999999999</v>
      </c>
    </row>
    <row r="24" spans="1:110">
      <c r="A24" t="s">
        <v>99</v>
      </c>
      <c r="B24" t="s">
        <v>100</v>
      </c>
      <c r="C24" s="1">
        <v>0.112</v>
      </c>
      <c r="D24" s="1">
        <f t="shared" si="0"/>
        <v>-1.1999999999999997E-2</v>
      </c>
      <c r="E24" s="1">
        <v>0.126</v>
      </c>
      <c r="F24">
        <f t="shared" si="1"/>
        <v>8.0000000000000071E-3</v>
      </c>
      <c r="G24" s="1">
        <v>9.8000000000000004E-2</v>
      </c>
      <c r="H24">
        <f t="shared" si="2"/>
        <v>-3.6000000000000004E-2</v>
      </c>
      <c r="I24" s="1">
        <v>0.104</v>
      </c>
      <c r="J24">
        <f t="shared" si="3"/>
        <v>-6.7999999999999991E-2</v>
      </c>
      <c r="K24" s="1">
        <v>0.109</v>
      </c>
      <c r="L24">
        <f t="shared" si="4"/>
        <v>-6.699999999999999E-2</v>
      </c>
      <c r="M24" s="1">
        <v>9.8000000000000004E-2</v>
      </c>
      <c r="N24">
        <f t="shared" si="5"/>
        <v>-6.9000000000000006E-2</v>
      </c>
      <c r="O24" s="1">
        <v>0.105</v>
      </c>
      <c r="P24">
        <f t="shared" si="6"/>
        <v>-6.2000000000000013E-2</v>
      </c>
      <c r="Q24" s="1">
        <v>0.106</v>
      </c>
      <c r="R24">
        <f t="shared" si="7"/>
        <v>-6.5000000000000016E-2</v>
      </c>
      <c r="S24" s="1">
        <v>0.1</v>
      </c>
      <c r="T24">
        <f t="shared" si="8"/>
        <v>-9.6000000000000002E-2</v>
      </c>
      <c r="U24" s="1">
        <v>0.107</v>
      </c>
      <c r="V24">
        <f t="shared" si="9"/>
        <v>-8.3000000000000004E-2</v>
      </c>
      <c r="W24" s="1">
        <v>0.109</v>
      </c>
      <c r="X24">
        <f t="shared" si="10"/>
        <v>-7.4999999999999997E-2</v>
      </c>
      <c r="Y24" s="1">
        <v>0.106</v>
      </c>
      <c r="Z24">
        <f t="shared" si="11"/>
        <v>-0.12100000000000001</v>
      </c>
      <c r="AA24" s="1">
        <v>0.112</v>
      </c>
      <c r="AB24">
        <f t="shared" si="12"/>
        <v>-0.08</v>
      </c>
      <c r="AC24" s="1">
        <v>0.113</v>
      </c>
      <c r="AD24">
        <f t="shared" si="13"/>
        <v>-6.1999999999999986E-2</v>
      </c>
      <c r="AE24" s="1">
        <v>0.107</v>
      </c>
      <c r="AF24">
        <f t="shared" si="14"/>
        <v>-0.109</v>
      </c>
      <c r="AG24">
        <v>0.11600000000000001</v>
      </c>
      <c r="AH24">
        <f t="shared" si="15"/>
        <v>-4.8000000000000001E-2</v>
      </c>
      <c r="AI24">
        <v>0.11600000000000001</v>
      </c>
      <c r="AJ24">
        <f t="shared" si="16"/>
        <v>-5.9999999999999984E-2</v>
      </c>
      <c r="AK24">
        <v>0.11</v>
      </c>
      <c r="AL24">
        <f t="shared" si="17"/>
        <v>-9.3000000000000013E-2</v>
      </c>
      <c r="AM24" s="1">
        <v>0.12</v>
      </c>
      <c r="AN24" s="2">
        <f t="shared" si="18"/>
        <v>8.9999999999999941E-3</v>
      </c>
      <c r="AO24" s="1">
        <v>0.14299999999999999</v>
      </c>
      <c r="AP24" s="2">
        <f t="shared" si="19"/>
        <v>3.3999999999999989E-2</v>
      </c>
      <c r="AQ24" s="1">
        <v>0.127</v>
      </c>
      <c r="AR24" s="2">
        <f t="shared" si="20"/>
        <v>1.4999999999999999E-2</v>
      </c>
      <c r="AS24" s="1">
        <v>0.11</v>
      </c>
      <c r="AT24" s="2">
        <f t="shared" si="21"/>
        <v>-8.6000000000000007E-2</v>
      </c>
      <c r="AU24" s="1">
        <v>0.113</v>
      </c>
      <c r="AV24" s="2">
        <f t="shared" si="22"/>
        <v>-8.5000000000000006E-2</v>
      </c>
      <c r="AW24" s="1">
        <v>0.113</v>
      </c>
      <c r="AX24" s="2">
        <f t="shared" si="23"/>
        <v>-9.2999999999999985E-2</v>
      </c>
      <c r="AY24" s="1">
        <v>0.108</v>
      </c>
      <c r="AZ24">
        <f t="shared" si="24"/>
        <v>-0.10099999999999999</v>
      </c>
      <c r="BA24" s="1">
        <v>0.107</v>
      </c>
      <c r="BB24">
        <f t="shared" si="25"/>
        <v>-9.8999999999999991E-2</v>
      </c>
      <c r="BC24" s="1">
        <v>0.108</v>
      </c>
      <c r="BD24">
        <f t="shared" si="26"/>
        <v>-0.106</v>
      </c>
      <c r="BE24" s="1">
        <v>0.106</v>
      </c>
      <c r="BF24">
        <f t="shared" si="27"/>
        <v>-0.111</v>
      </c>
      <c r="BG24" s="1">
        <v>0.108</v>
      </c>
      <c r="BH24">
        <f t="shared" si="28"/>
        <v>-9.6999999999999989E-2</v>
      </c>
      <c r="BI24" s="1">
        <v>0.107</v>
      </c>
      <c r="BJ24">
        <f t="shared" si="29"/>
        <v>-9.8999999999999991E-2</v>
      </c>
      <c r="BK24" s="1">
        <v>0.108</v>
      </c>
      <c r="BL24">
        <f t="shared" si="30"/>
        <v>-0.111</v>
      </c>
      <c r="BM24" s="1">
        <v>0.112</v>
      </c>
      <c r="BN24">
        <f t="shared" si="31"/>
        <v>-0.104</v>
      </c>
      <c r="BO24" s="1">
        <v>0.11</v>
      </c>
      <c r="BP24">
        <f t="shared" si="32"/>
        <v>-0.111</v>
      </c>
      <c r="BQ24">
        <v>0.114</v>
      </c>
      <c r="BR24">
        <f t="shared" si="33"/>
        <v>-0.105</v>
      </c>
      <c r="BS24">
        <v>0.20399999999999999</v>
      </c>
      <c r="BT24">
        <f t="shared" si="34"/>
        <v>1.999999999999974E-3</v>
      </c>
      <c r="BU24">
        <v>0.115</v>
      </c>
      <c r="BV24">
        <f t="shared" si="35"/>
        <v>-0.109</v>
      </c>
      <c r="BW24" s="1">
        <v>0.10299999999999999</v>
      </c>
      <c r="BX24" s="2">
        <f t="shared" si="36"/>
        <v>-5.6000000000000008E-2</v>
      </c>
      <c r="BY24" s="1">
        <v>0.115</v>
      </c>
      <c r="BZ24" s="2">
        <f t="shared" si="37"/>
        <v>1.100000000000001E-2</v>
      </c>
      <c r="CA24" s="1">
        <v>0.25800000000000001</v>
      </c>
      <c r="CB24" s="2">
        <f t="shared" si="38"/>
        <v>-0.23099999999999998</v>
      </c>
      <c r="CC24" s="1">
        <v>0.106</v>
      </c>
      <c r="CD24" s="2">
        <f t="shared" si="39"/>
        <v>-0.109</v>
      </c>
      <c r="CE24" s="1">
        <v>0.10199999999999999</v>
      </c>
      <c r="CF24" s="2">
        <f t="shared" si="40"/>
        <v>-0.08</v>
      </c>
      <c r="CG24" s="1">
        <v>0.107</v>
      </c>
      <c r="CH24" s="2">
        <f t="shared" si="41"/>
        <v>-8.4000000000000005E-2</v>
      </c>
      <c r="CI24" s="1">
        <v>0.11799999999999999</v>
      </c>
      <c r="CJ24">
        <f t="shared" si="42"/>
        <v>-9.1999999999999998E-2</v>
      </c>
      <c r="CK24" s="1">
        <v>0.10299999999999999</v>
      </c>
      <c r="CL24">
        <f t="shared" si="43"/>
        <v>-9.2000000000000012E-2</v>
      </c>
      <c r="CM24" s="1">
        <v>0.105</v>
      </c>
      <c r="CN24">
        <f t="shared" si="44"/>
        <v>-0.10199999999999999</v>
      </c>
      <c r="CO24" s="1">
        <v>0.107</v>
      </c>
      <c r="CP24">
        <f t="shared" si="45"/>
        <v>-0.11</v>
      </c>
      <c r="CQ24" s="1">
        <v>0.104</v>
      </c>
      <c r="CR24">
        <f t="shared" si="46"/>
        <v>-9.5000000000000015E-2</v>
      </c>
      <c r="CS24" s="1">
        <v>0.106</v>
      </c>
      <c r="CT24">
        <f t="shared" si="47"/>
        <v>-9.4000000000000014E-2</v>
      </c>
      <c r="CU24" s="1">
        <v>0.11</v>
      </c>
      <c r="CV24">
        <f t="shared" si="48"/>
        <v>-0.11</v>
      </c>
      <c r="CW24" s="1">
        <v>0.106</v>
      </c>
      <c r="CX24">
        <f t="shared" si="49"/>
        <v>-9.9999999999999992E-2</v>
      </c>
      <c r="CY24" s="1">
        <v>0.111</v>
      </c>
      <c r="CZ24">
        <f t="shared" si="50"/>
        <v>-9.6999999999999989E-2</v>
      </c>
      <c r="DA24">
        <v>0.114</v>
      </c>
      <c r="DB24">
        <f t="shared" si="51"/>
        <v>-0.10199999999999999</v>
      </c>
      <c r="DC24">
        <v>0.109</v>
      </c>
      <c r="DD24">
        <f t="shared" si="52"/>
        <v>-9.4000000000000014E-2</v>
      </c>
      <c r="DE24">
        <v>0.115</v>
      </c>
      <c r="DF24">
        <f t="shared" si="53"/>
        <v>-8.9999999999999983E-2</v>
      </c>
    </row>
    <row r="25" spans="1:110">
      <c r="A25" t="s">
        <v>101</v>
      </c>
      <c r="B25" t="s">
        <v>102</v>
      </c>
      <c r="C25" s="1">
        <v>0.115</v>
      </c>
      <c r="D25" s="1">
        <f t="shared" si="0"/>
        <v>-8.9999999999999941E-3</v>
      </c>
      <c r="E25" s="1">
        <v>0.14199999999999999</v>
      </c>
      <c r="F25">
        <f t="shared" si="1"/>
        <v>2.3999999999999994E-2</v>
      </c>
      <c r="G25" s="1">
        <v>0.14699999999999999</v>
      </c>
      <c r="H25">
        <f t="shared" si="2"/>
        <v>1.2999999999999984E-2</v>
      </c>
      <c r="I25" s="1">
        <v>0.58199999999999996</v>
      </c>
      <c r="J25">
        <f t="shared" si="3"/>
        <v>0.41</v>
      </c>
      <c r="K25" s="1">
        <v>0.79300000000000004</v>
      </c>
      <c r="L25">
        <f t="shared" si="4"/>
        <v>0.61699999999999999</v>
      </c>
      <c r="M25" s="1">
        <v>0.72599999999999998</v>
      </c>
      <c r="N25">
        <f t="shared" si="5"/>
        <v>0.55899999999999994</v>
      </c>
      <c r="O25" s="1">
        <v>0.83</v>
      </c>
      <c r="P25">
        <f t="shared" si="6"/>
        <v>0.66299999999999992</v>
      </c>
      <c r="Q25" s="1">
        <v>0.95699999999999996</v>
      </c>
      <c r="R25">
        <f t="shared" si="7"/>
        <v>0.78599999999999992</v>
      </c>
      <c r="S25" s="1">
        <v>0.94899999999999995</v>
      </c>
      <c r="T25">
        <f t="shared" si="8"/>
        <v>0.75299999999999989</v>
      </c>
      <c r="U25" s="1">
        <v>0.873</v>
      </c>
      <c r="V25">
        <f t="shared" si="9"/>
        <v>0.68300000000000005</v>
      </c>
      <c r="W25" s="1">
        <v>0.91300000000000003</v>
      </c>
      <c r="X25">
        <f t="shared" si="10"/>
        <v>0.72900000000000009</v>
      </c>
      <c r="Y25" s="1">
        <v>0.88700000000000001</v>
      </c>
      <c r="Z25">
        <f t="shared" si="11"/>
        <v>0.66</v>
      </c>
      <c r="AA25" s="1">
        <v>0.80700000000000005</v>
      </c>
      <c r="AB25">
        <f t="shared" si="12"/>
        <v>0.61499999999999999</v>
      </c>
      <c r="AC25" s="1">
        <v>0.90100000000000002</v>
      </c>
      <c r="AD25">
        <f t="shared" si="13"/>
        <v>0.72599999999999998</v>
      </c>
      <c r="AE25" s="1">
        <v>0.81799999999999995</v>
      </c>
      <c r="AF25">
        <f t="shared" si="14"/>
        <v>0.60199999999999998</v>
      </c>
      <c r="AG25">
        <v>0.80800000000000005</v>
      </c>
      <c r="AH25">
        <f t="shared" si="15"/>
        <v>0.64400000000000002</v>
      </c>
      <c r="AI25">
        <v>0.90900000000000003</v>
      </c>
      <c r="AJ25">
        <f t="shared" si="16"/>
        <v>0.7330000000000001</v>
      </c>
      <c r="AK25">
        <v>0.84399999999999997</v>
      </c>
      <c r="AL25">
        <f t="shared" si="17"/>
        <v>0.64100000000000001</v>
      </c>
      <c r="AM25" s="1">
        <v>0.13400000000000001</v>
      </c>
      <c r="AN25" s="2">
        <f t="shared" si="18"/>
        <v>2.3000000000000007E-2</v>
      </c>
      <c r="AO25" s="1">
        <v>0.14799999999999999</v>
      </c>
      <c r="AP25" s="2">
        <f t="shared" si="19"/>
        <v>3.8999999999999993E-2</v>
      </c>
      <c r="AQ25" s="1">
        <v>0.17100000000000001</v>
      </c>
      <c r="AR25" s="2">
        <f t="shared" si="20"/>
        <v>5.9000000000000011E-2</v>
      </c>
      <c r="AS25" s="1">
        <v>0.77</v>
      </c>
      <c r="AT25" s="2">
        <f t="shared" si="21"/>
        <v>0.57400000000000007</v>
      </c>
      <c r="AU25" s="1">
        <v>0.81599999999999995</v>
      </c>
      <c r="AV25" s="2">
        <f t="shared" si="22"/>
        <v>0.61799999999999988</v>
      </c>
      <c r="AW25" s="1">
        <v>0.79100000000000004</v>
      </c>
      <c r="AX25" s="2">
        <f t="shared" si="23"/>
        <v>0.58500000000000008</v>
      </c>
      <c r="AY25" s="1">
        <v>0.92100000000000004</v>
      </c>
      <c r="AZ25">
        <f t="shared" si="24"/>
        <v>0.71200000000000008</v>
      </c>
      <c r="BA25" s="1">
        <v>0.95399999999999996</v>
      </c>
      <c r="BB25">
        <f t="shared" si="25"/>
        <v>0.748</v>
      </c>
      <c r="BC25" s="1">
        <v>0.96099999999999997</v>
      </c>
      <c r="BD25">
        <f t="shared" si="26"/>
        <v>0.747</v>
      </c>
      <c r="BE25" s="1">
        <v>1.0149999999999999</v>
      </c>
      <c r="BF25">
        <f t="shared" si="27"/>
        <v>0.79799999999999993</v>
      </c>
      <c r="BG25" s="1">
        <v>1.0509999999999999</v>
      </c>
      <c r="BH25">
        <f t="shared" si="28"/>
        <v>0.84599999999999997</v>
      </c>
      <c r="BI25" s="1">
        <v>1.069</v>
      </c>
      <c r="BJ25">
        <f t="shared" si="29"/>
        <v>0.86299999999999999</v>
      </c>
      <c r="BK25" s="1">
        <v>1.024</v>
      </c>
      <c r="BL25">
        <f t="shared" si="30"/>
        <v>0.80500000000000005</v>
      </c>
      <c r="BM25" s="1">
        <v>1.0009999999999999</v>
      </c>
      <c r="BN25">
        <f t="shared" si="31"/>
        <v>0.78499999999999992</v>
      </c>
      <c r="BO25" s="1">
        <v>1.0589999999999999</v>
      </c>
      <c r="BP25">
        <f t="shared" si="32"/>
        <v>0.83799999999999997</v>
      </c>
      <c r="BQ25">
        <v>1.0049999999999999</v>
      </c>
      <c r="BR25">
        <f t="shared" si="33"/>
        <v>0.78599999999999992</v>
      </c>
      <c r="BS25">
        <v>1.0009999999999999</v>
      </c>
      <c r="BT25">
        <f t="shared" si="34"/>
        <v>0.79899999999999993</v>
      </c>
      <c r="BU25">
        <v>1.038</v>
      </c>
      <c r="BV25">
        <f t="shared" si="35"/>
        <v>0.81400000000000006</v>
      </c>
      <c r="BW25" s="1">
        <v>0.13200000000000001</v>
      </c>
      <c r="BX25" s="2">
        <f t="shared" si="36"/>
        <v>-2.6999999999999996E-2</v>
      </c>
      <c r="BY25" s="1">
        <v>0.154</v>
      </c>
      <c r="BZ25" s="2">
        <f t="shared" si="37"/>
        <v>0.05</v>
      </c>
      <c r="CA25" s="1">
        <v>0.16800000000000001</v>
      </c>
      <c r="CB25" s="2">
        <f t="shared" si="38"/>
        <v>-0.32099999999999995</v>
      </c>
      <c r="CC25" s="1">
        <v>0.70899999999999996</v>
      </c>
      <c r="CD25" s="2">
        <f t="shared" si="39"/>
        <v>0.49399999999999999</v>
      </c>
      <c r="CE25" s="1">
        <v>0.78800000000000003</v>
      </c>
      <c r="CF25" s="2">
        <f t="shared" si="40"/>
        <v>0.60600000000000009</v>
      </c>
      <c r="CG25" s="1">
        <v>0.65800000000000003</v>
      </c>
      <c r="CH25" s="2">
        <f t="shared" si="41"/>
        <v>0.46700000000000003</v>
      </c>
      <c r="CI25" s="1">
        <v>0.92900000000000005</v>
      </c>
      <c r="CJ25">
        <f t="shared" si="42"/>
        <v>0.71900000000000008</v>
      </c>
      <c r="CK25" s="1">
        <v>0.94299999999999995</v>
      </c>
      <c r="CL25">
        <f t="shared" si="43"/>
        <v>0.748</v>
      </c>
      <c r="CM25" s="1">
        <v>0.91100000000000003</v>
      </c>
      <c r="CN25">
        <f t="shared" si="44"/>
        <v>0.70400000000000007</v>
      </c>
      <c r="CO25" s="1">
        <v>0.97699999999999998</v>
      </c>
      <c r="CP25">
        <f t="shared" si="45"/>
        <v>0.76</v>
      </c>
      <c r="CQ25" s="1">
        <v>1.0629999999999999</v>
      </c>
      <c r="CR25">
        <f t="shared" si="46"/>
        <v>0.86399999999999988</v>
      </c>
      <c r="CS25" s="1">
        <v>1.0720000000000001</v>
      </c>
      <c r="CT25">
        <f t="shared" si="47"/>
        <v>0.87200000000000011</v>
      </c>
      <c r="CU25" s="1">
        <v>1.07</v>
      </c>
      <c r="CV25">
        <f t="shared" si="48"/>
        <v>0.85000000000000009</v>
      </c>
      <c r="CW25" s="1">
        <v>1.0309999999999999</v>
      </c>
      <c r="CX25">
        <f t="shared" si="49"/>
        <v>0.82499999999999996</v>
      </c>
      <c r="CY25" s="1">
        <v>1.0389999999999999</v>
      </c>
      <c r="CZ25">
        <f t="shared" si="50"/>
        <v>0.83099999999999996</v>
      </c>
      <c r="DA25">
        <v>1.0149999999999999</v>
      </c>
      <c r="DB25">
        <f t="shared" si="51"/>
        <v>0.79899999999999993</v>
      </c>
      <c r="DC25">
        <v>1.0389999999999999</v>
      </c>
      <c r="DD25">
        <f t="shared" si="52"/>
        <v>0.83599999999999985</v>
      </c>
      <c r="DE25">
        <v>1.024</v>
      </c>
      <c r="DF25">
        <f t="shared" si="53"/>
        <v>0.81900000000000006</v>
      </c>
    </row>
    <row r="26" spans="1:110">
      <c r="A26" t="s">
        <v>103</v>
      </c>
      <c r="B26" t="s">
        <v>104</v>
      </c>
      <c r="C26" s="1">
        <v>0.121</v>
      </c>
      <c r="D26" s="1">
        <f t="shared" si="0"/>
        <v>-3.0000000000000027E-3</v>
      </c>
      <c r="E26" s="1">
        <v>0.13200000000000001</v>
      </c>
      <c r="F26">
        <f t="shared" si="1"/>
        <v>1.4000000000000012E-2</v>
      </c>
      <c r="G26" s="1">
        <v>0.15</v>
      </c>
      <c r="H26">
        <f t="shared" si="2"/>
        <v>1.5999999999999986E-2</v>
      </c>
      <c r="I26" s="1">
        <v>0.67800000000000005</v>
      </c>
      <c r="J26">
        <f t="shared" si="3"/>
        <v>0.50600000000000001</v>
      </c>
      <c r="K26" s="1">
        <v>0.88200000000000001</v>
      </c>
      <c r="L26">
        <f t="shared" si="4"/>
        <v>0.70599999999999996</v>
      </c>
      <c r="M26" s="1">
        <v>0.71499999999999997</v>
      </c>
      <c r="N26">
        <f t="shared" si="5"/>
        <v>0.54799999999999993</v>
      </c>
      <c r="O26" s="1">
        <v>1.0920000000000001</v>
      </c>
      <c r="P26">
        <f t="shared" si="6"/>
        <v>0.92500000000000004</v>
      </c>
      <c r="Q26" s="1">
        <v>1.1919999999999999</v>
      </c>
      <c r="R26">
        <f t="shared" si="7"/>
        <v>1.0209999999999999</v>
      </c>
      <c r="S26" s="1">
        <v>1.153</v>
      </c>
      <c r="T26">
        <f t="shared" si="8"/>
        <v>0.95700000000000007</v>
      </c>
      <c r="U26" s="1">
        <v>1.18</v>
      </c>
      <c r="V26">
        <f t="shared" si="9"/>
        <v>0.99</v>
      </c>
      <c r="W26" s="1">
        <v>0.97599999999999998</v>
      </c>
      <c r="X26">
        <f t="shared" si="10"/>
        <v>0.79200000000000004</v>
      </c>
      <c r="Y26" s="1">
        <v>0.92300000000000004</v>
      </c>
      <c r="Z26">
        <f t="shared" si="11"/>
        <v>0.69600000000000006</v>
      </c>
      <c r="AA26" s="1">
        <v>0.88200000000000001</v>
      </c>
      <c r="AB26">
        <f t="shared" si="12"/>
        <v>0.69</v>
      </c>
      <c r="AC26" s="1">
        <v>0.85199999999999998</v>
      </c>
      <c r="AD26">
        <f t="shared" si="13"/>
        <v>0.67700000000000005</v>
      </c>
      <c r="AE26" s="1">
        <v>0.94899999999999995</v>
      </c>
      <c r="AF26">
        <f t="shared" si="14"/>
        <v>0.73299999999999998</v>
      </c>
      <c r="AG26">
        <v>0.91800000000000004</v>
      </c>
      <c r="AH26">
        <f t="shared" si="15"/>
        <v>0.754</v>
      </c>
      <c r="AI26">
        <v>0.96099999999999997</v>
      </c>
      <c r="AJ26">
        <f t="shared" si="16"/>
        <v>0.78499999999999992</v>
      </c>
      <c r="AK26">
        <v>0.90500000000000003</v>
      </c>
      <c r="AL26">
        <f t="shared" si="17"/>
        <v>0.70199999999999996</v>
      </c>
      <c r="AM26" s="1">
        <v>0.10199999999999999</v>
      </c>
      <c r="AN26" s="2">
        <f t="shared" si="18"/>
        <v>-9.000000000000008E-3</v>
      </c>
      <c r="AO26" s="1">
        <v>0.114</v>
      </c>
      <c r="AP26" s="2">
        <f t="shared" si="19"/>
        <v>5.0000000000000044E-3</v>
      </c>
      <c r="AQ26" s="1">
        <v>0.19500000000000001</v>
      </c>
      <c r="AR26" s="2">
        <f t="shared" si="20"/>
        <v>8.3000000000000004E-2</v>
      </c>
      <c r="AS26" s="1">
        <v>0.69399999999999995</v>
      </c>
      <c r="AT26" s="2">
        <f t="shared" si="21"/>
        <v>0.49799999999999994</v>
      </c>
      <c r="AU26" s="1">
        <v>0.73399999999999999</v>
      </c>
      <c r="AV26" s="2">
        <f t="shared" si="22"/>
        <v>0.53600000000000003</v>
      </c>
      <c r="AW26" s="1">
        <v>0.83399999999999996</v>
      </c>
      <c r="AX26" s="2">
        <f t="shared" si="23"/>
        <v>0.628</v>
      </c>
      <c r="AY26" s="1">
        <v>0.96899999999999997</v>
      </c>
      <c r="AZ26">
        <f t="shared" si="24"/>
        <v>0.76</v>
      </c>
      <c r="BA26" s="1">
        <v>1.0209999999999999</v>
      </c>
      <c r="BB26">
        <f t="shared" si="25"/>
        <v>0.81499999999999995</v>
      </c>
      <c r="BC26" s="1">
        <v>0.98899999999999999</v>
      </c>
      <c r="BD26">
        <f t="shared" si="26"/>
        <v>0.77500000000000002</v>
      </c>
      <c r="BE26" s="1">
        <v>1.0940000000000001</v>
      </c>
      <c r="BF26">
        <f t="shared" si="27"/>
        <v>0.87700000000000011</v>
      </c>
      <c r="BG26" s="1">
        <v>1.218</v>
      </c>
      <c r="BH26">
        <f t="shared" si="28"/>
        <v>1.0129999999999999</v>
      </c>
      <c r="BI26" s="1">
        <v>1.1910000000000001</v>
      </c>
      <c r="BJ26">
        <f t="shared" si="29"/>
        <v>0.9850000000000001</v>
      </c>
      <c r="BK26" s="1">
        <v>1.085</v>
      </c>
      <c r="BL26">
        <f t="shared" si="30"/>
        <v>0.86599999999999999</v>
      </c>
      <c r="BM26" s="1">
        <v>1.1579999999999999</v>
      </c>
      <c r="BN26">
        <f t="shared" si="31"/>
        <v>0.94199999999999995</v>
      </c>
      <c r="BO26" s="1">
        <v>1.135</v>
      </c>
      <c r="BP26">
        <f t="shared" si="32"/>
        <v>0.91400000000000003</v>
      </c>
      <c r="BQ26">
        <v>1.044</v>
      </c>
      <c r="BR26">
        <f t="shared" si="33"/>
        <v>0.82500000000000007</v>
      </c>
      <c r="BS26">
        <v>1.0660000000000001</v>
      </c>
      <c r="BT26">
        <f t="shared" si="34"/>
        <v>0.8640000000000001</v>
      </c>
      <c r="BU26">
        <v>1.034</v>
      </c>
      <c r="BV26">
        <f t="shared" si="35"/>
        <v>0.81</v>
      </c>
      <c r="BW26" s="1">
        <v>0.115</v>
      </c>
      <c r="BX26" s="2">
        <f t="shared" si="36"/>
        <v>-4.3999999999999997E-2</v>
      </c>
      <c r="BY26" s="1">
        <v>0.105</v>
      </c>
      <c r="BZ26" s="2">
        <f t="shared" si="37"/>
        <v>1.0000000000000009E-3</v>
      </c>
      <c r="CA26" s="1">
        <v>0.183</v>
      </c>
      <c r="CB26" s="2">
        <f t="shared" si="38"/>
        <v>-0.30599999999999999</v>
      </c>
      <c r="CC26" s="1">
        <v>0.70299999999999996</v>
      </c>
      <c r="CD26" s="2">
        <f t="shared" si="39"/>
        <v>0.48799999999999999</v>
      </c>
      <c r="CE26" s="1">
        <v>0.64200000000000002</v>
      </c>
      <c r="CF26" s="2">
        <f t="shared" si="40"/>
        <v>0.46</v>
      </c>
      <c r="CG26" s="1">
        <v>0.72599999999999998</v>
      </c>
      <c r="CH26" s="2">
        <f t="shared" si="41"/>
        <v>0.53499999999999992</v>
      </c>
      <c r="CI26" s="1">
        <v>1.01</v>
      </c>
      <c r="CJ26">
        <f t="shared" si="42"/>
        <v>0.8</v>
      </c>
      <c r="CK26" s="1">
        <v>0.94099999999999995</v>
      </c>
      <c r="CL26">
        <f t="shared" si="43"/>
        <v>0.746</v>
      </c>
      <c r="CM26" s="1">
        <v>1.02</v>
      </c>
      <c r="CN26">
        <f t="shared" si="44"/>
        <v>0.81300000000000006</v>
      </c>
      <c r="CO26" s="1">
        <v>1.0720000000000001</v>
      </c>
      <c r="CP26">
        <f t="shared" si="45"/>
        <v>0.85500000000000009</v>
      </c>
      <c r="CQ26" s="1">
        <v>1.0549999999999999</v>
      </c>
      <c r="CR26">
        <f t="shared" si="46"/>
        <v>0.85599999999999987</v>
      </c>
      <c r="CS26" s="1">
        <v>1.1060000000000001</v>
      </c>
      <c r="CT26">
        <f t="shared" si="47"/>
        <v>0.90600000000000014</v>
      </c>
      <c r="CU26" s="1">
        <v>1.0640000000000001</v>
      </c>
      <c r="CV26">
        <f t="shared" si="48"/>
        <v>0.84400000000000008</v>
      </c>
      <c r="CW26" s="1">
        <v>1.07</v>
      </c>
      <c r="CX26">
        <f t="shared" si="49"/>
        <v>0.8640000000000001</v>
      </c>
      <c r="CY26" s="1">
        <v>1.0900000000000001</v>
      </c>
      <c r="CZ26">
        <f t="shared" si="50"/>
        <v>0.88200000000000012</v>
      </c>
      <c r="DA26">
        <v>1.0820000000000001</v>
      </c>
      <c r="DB26">
        <f t="shared" si="51"/>
        <v>0.8660000000000001</v>
      </c>
      <c r="DC26">
        <v>1.0129999999999999</v>
      </c>
      <c r="DD26">
        <f t="shared" si="52"/>
        <v>0.80999999999999983</v>
      </c>
      <c r="DE26">
        <v>1.085</v>
      </c>
      <c r="DF26">
        <f t="shared" si="53"/>
        <v>0.88</v>
      </c>
    </row>
    <row r="27" spans="1:110">
      <c r="A27" t="s">
        <v>105</v>
      </c>
      <c r="B27" t="s">
        <v>106</v>
      </c>
      <c r="C27" s="1">
        <v>0.11899999999999999</v>
      </c>
      <c r="D27" s="1">
        <f t="shared" si="0"/>
        <v>-5.0000000000000044E-3</v>
      </c>
      <c r="E27" s="1">
        <v>0.14499999999999999</v>
      </c>
      <c r="F27">
        <f t="shared" si="1"/>
        <v>2.6999999999999996E-2</v>
      </c>
      <c r="G27" s="1">
        <v>0.14799999999999999</v>
      </c>
      <c r="H27">
        <f t="shared" si="2"/>
        <v>1.3999999999999985E-2</v>
      </c>
      <c r="I27" s="1">
        <v>0.69399999999999995</v>
      </c>
      <c r="J27">
        <f t="shared" si="3"/>
        <v>0.52200000000000002</v>
      </c>
      <c r="K27" s="1">
        <v>0.81499999999999995</v>
      </c>
      <c r="L27">
        <f t="shared" si="4"/>
        <v>0.63900000000000001</v>
      </c>
      <c r="M27" s="1">
        <v>0.74</v>
      </c>
      <c r="N27">
        <f t="shared" si="5"/>
        <v>0.57299999999999995</v>
      </c>
      <c r="O27" s="1">
        <v>0.98399999999999999</v>
      </c>
      <c r="P27">
        <f t="shared" si="6"/>
        <v>0.81699999999999995</v>
      </c>
      <c r="Q27" s="1">
        <v>1.111</v>
      </c>
      <c r="R27">
        <f t="shared" si="7"/>
        <v>0.94</v>
      </c>
      <c r="S27" s="1">
        <v>1.145</v>
      </c>
      <c r="T27">
        <f t="shared" si="8"/>
        <v>0.94900000000000007</v>
      </c>
      <c r="U27" s="1">
        <v>1.032</v>
      </c>
      <c r="V27">
        <f t="shared" si="9"/>
        <v>0.84200000000000008</v>
      </c>
      <c r="W27" s="1">
        <v>0.79800000000000004</v>
      </c>
      <c r="X27">
        <f t="shared" si="10"/>
        <v>0.6140000000000001</v>
      </c>
      <c r="Y27" s="1">
        <v>0.95499999999999996</v>
      </c>
      <c r="Z27">
        <f t="shared" si="11"/>
        <v>0.72799999999999998</v>
      </c>
      <c r="AA27" s="1">
        <v>0.98899999999999999</v>
      </c>
      <c r="AB27">
        <f t="shared" si="12"/>
        <v>0.79699999999999993</v>
      </c>
      <c r="AC27" s="1">
        <v>0.79</v>
      </c>
      <c r="AD27">
        <f t="shared" si="13"/>
        <v>0.61499999999999999</v>
      </c>
      <c r="AE27" s="1">
        <v>0.77300000000000002</v>
      </c>
      <c r="AF27">
        <f t="shared" si="14"/>
        <v>0.55700000000000005</v>
      </c>
      <c r="AG27">
        <v>1.018</v>
      </c>
      <c r="AH27">
        <f t="shared" si="15"/>
        <v>0.85399999999999998</v>
      </c>
      <c r="AI27">
        <v>0.79400000000000004</v>
      </c>
      <c r="AJ27">
        <f t="shared" si="16"/>
        <v>0.6180000000000001</v>
      </c>
      <c r="AK27">
        <v>0.82</v>
      </c>
      <c r="AL27">
        <f t="shared" si="17"/>
        <v>0.61699999999999999</v>
      </c>
      <c r="AM27" s="1">
        <v>0.107</v>
      </c>
      <c r="AN27" s="2">
        <f t="shared" si="18"/>
        <v>-4.0000000000000036E-3</v>
      </c>
      <c r="AO27" s="1">
        <v>0.108</v>
      </c>
      <c r="AP27" s="2">
        <f t="shared" si="19"/>
        <v>-1.0000000000000009E-3</v>
      </c>
      <c r="AQ27" s="1">
        <v>0.17699999999999999</v>
      </c>
      <c r="AR27" s="2">
        <f t="shared" si="20"/>
        <v>6.4999999999999988E-2</v>
      </c>
      <c r="AS27" s="1">
        <v>0.752</v>
      </c>
      <c r="AT27" s="2">
        <f t="shared" si="21"/>
        <v>0.55600000000000005</v>
      </c>
      <c r="AU27" s="1">
        <v>0.76800000000000002</v>
      </c>
      <c r="AV27" s="2">
        <f t="shared" si="22"/>
        <v>0.57000000000000006</v>
      </c>
      <c r="AW27" s="1">
        <v>0.77700000000000002</v>
      </c>
      <c r="AX27" s="2">
        <f t="shared" si="23"/>
        <v>0.57100000000000006</v>
      </c>
      <c r="AY27" s="1">
        <v>0.95</v>
      </c>
      <c r="AZ27">
        <f t="shared" si="24"/>
        <v>0.74099999999999999</v>
      </c>
      <c r="BA27" s="1">
        <v>0.94399999999999995</v>
      </c>
      <c r="BB27">
        <f t="shared" si="25"/>
        <v>0.73799999999999999</v>
      </c>
      <c r="BC27" s="1">
        <v>0.91200000000000003</v>
      </c>
      <c r="BD27">
        <f t="shared" si="26"/>
        <v>0.69800000000000006</v>
      </c>
      <c r="BE27" s="1">
        <v>1.0960000000000001</v>
      </c>
      <c r="BF27">
        <f t="shared" si="27"/>
        <v>0.87900000000000011</v>
      </c>
      <c r="BG27" s="1">
        <v>1.1100000000000001</v>
      </c>
      <c r="BH27">
        <f t="shared" si="28"/>
        <v>0.90500000000000014</v>
      </c>
      <c r="BI27" s="1">
        <v>1.0840000000000001</v>
      </c>
      <c r="BJ27">
        <f t="shared" si="29"/>
        <v>0.87800000000000011</v>
      </c>
      <c r="BK27" s="1">
        <v>1.111</v>
      </c>
      <c r="BL27">
        <f t="shared" si="30"/>
        <v>0.89200000000000002</v>
      </c>
      <c r="BM27" s="1">
        <v>1.0680000000000001</v>
      </c>
      <c r="BN27">
        <f t="shared" si="31"/>
        <v>0.85200000000000009</v>
      </c>
      <c r="BO27" s="1">
        <v>1.103</v>
      </c>
      <c r="BP27">
        <f t="shared" si="32"/>
        <v>0.88200000000000001</v>
      </c>
      <c r="BQ27">
        <v>1.0409999999999999</v>
      </c>
      <c r="BR27">
        <f t="shared" si="33"/>
        <v>0.82199999999999995</v>
      </c>
      <c r="BS27">
        <v>1.04</v>
      </c>
      <c r="BT27">
        <f t="shared" si="34"/>
        <v>0.83800000000000008</v>
      </c>
      <c r="BU27">
        <v>1.022</v>
      </c>
      <c r="BV27">
        <f t="shared" si="35"/>
        <v>0.79800000000000004</v>
      </c>
      <c r="BW27" s="1">
        <v>0.122</v>
      </c>
      <c r="BX27" s="2">
        <f t="shared" si="36"/>
        <v>-3.7000000000000005E-2</v>
      </c>
      <c r="BY27" s="1">
        <v>9.9000000000000005E-2</v>
      </c>
      <c r="BZ27" s="2">
        <f t="shared" si="37"/>
        <v>-4.9999999999999906E-3</v>
      </c>
      <c r="CA27" s="1">
        <v>0.191</v>
      </c>
      <c r="CB27" s="2">
        <f t="shared" si="38"/>
        <v>-0.29799999999999999</v>
      </c>
      <c r="CC27" s="1">
        <v>0.70099999999999996</v>
      </c>
      <c r="CD27" s="2">
        <f t="shared" si="39"/>
        <v>0.48599999999999999</v>
      </c>
      <c r="CE27" s="1">
        <v>0.67700000000000005</v>
      </c>
      <c r="CF27" s="2">
        <f t="shared" si="40"/>
        <v>0.49500000000000005</v>
      </c>
      <c r="CG27" s="1">
        <v>0.73699999999999999</v>
      </c>
      <c r="CH27" s="2">
        <f t="shared" si="41"/>
        <v>0.54600000000000004</v>
      </c>
      <c r="CI27" s="1">
        <v>0.89600000000000002</v>
      </c>
      <c r="CJ27">
        <f t="shared" si="42"/>
        <v>0.68600000000000005</v>
      </c>
      <c r="CK27" s="1">
        <v>0.93400000000000005</v>
      </c>
      <c r="CL27">
        <f t="shared" si="43"/>
        <v>0.7390000000000001</v>
      </c>
      <c r="CM27" s="1">
        <v>0.92</v>
      </c>
      <c r="CN27">
        <f t="shared" si="44"/>
        <v>0.71300000000000008</v>
      </c>
      <c r="CO27" s="1">
        <v>1.022</v>
      </c>
      <c r="CP27">
        <f t="shared" si="45"/>
        <v>0.80500000000000005</v>
      </c>
      <c r="CQ27" s="1">
        <v>1.0720000000000001</v>
      </c>
      <c r="CR27">
        <f t="shared" si="46"/>
        <v>0.873</v>
      </c>
      <c r="CS27" s="1">
        <v>1.0640000000000001</v>
      </c>
      <c r="CT27">
        <f t="shared" si="47"/>
        <v>0.8640000000000001</v>
      </c>
      <c r="CU27" s="1">
        <v>1.107</v>
      </c>
      <c r="CV27">
        <f t="shared" si="48"/>
        <v>0.88700000000000001</v>
      </c>
      <c r="CW27" s="1">
        <v>1.081</v>
      </c>
      <c r="CX27">
        <f t="shared" si="49"/>
        <v>0.875</v>
      </c>
      <c r="CY27" s="1">
        <v>1.1439999999999999</v>
      </c>
      <c r="CZ27">
        <f t="shared" si="50"/>
        <v>0.93599999999999994</v>
      </c>
      <c r="DA27">
        <v>1.07</v>
      </c>
      <c r="DB27">
        <f t="shared" si="51"/>
        <v>0.85400000000000009</v>
      </c>
      <c r="DC27">
        <v>1.012</v>
      </c>
      <c r="DD27">
        <f t="shared" si="52"/>
        <v>0.80899999999999994</v>
      </c>
      <c r="DE27">
        <v>1.0820000000000001</v>
      </c>
      <c r="DF27">
        <f t="shared" si="53"/>
        <v>0.87700000000000011</v>
      </c>
    </row>
    <row r="28" spans="1:110">
      <c r="A28" t="s">
        <v>107</v>
      </c>
      <c r="B28" t="s">
        <v>108</v>
      </c>
      <c r="C28" s="1">
        <v>0.115</v>
      </c>
      <c r="D28" s="1">
        <f t="shared" si="0"/>
        <v>-8.9999999999999941E-3</v>
      </c>
      <c r="E28" s="1">
        <v>0.13200000000000001</v>
      </c>
      <c r="F28">
        <f t="shared" si="1"/>
        <v>1.4000000000000012E-2</v>
      </c>
      <c r="G28" s="1">
        <v>0.123</v>
      </c>
      <c r="H28">
        <f t="shared" si="2"/>
        <v>-1.100000000000001E-2</v>
      </c>
      <c r="I28" s="1">
        <v>0.59099999999999997</v>
      </c>
      <c r="J28">
        <f t="shared" si="3"/>
        <v>0.41899999999999998</v>
      </c>
      <c r="K28" s="1">
        <v>0.73599999999999999</v>
      </c>
      <c r="L28">
        <f t="shared" si="4"/>
        <v>0.56000000000000005</v>
      </c>
      <c r="M28" s="1">
        <v>0.66200000000000003</v>
      </c>
      <c r="N28">
        <f t="shared" si="5"/>
        <v>0.495</v>
      </c>
      <c r="O28" s="1">
        <v>0.96499999999999997</v>
      </c>
      <c r="P28">
        <f t="shared" si="6"/>
        <v>0.79799999999999993</v>
      </c>
      <c r="Q28" s="1">
        <v>1.046</v>
      </c>
      <c r="R28">
        <f t="shared" si="7"/>
        <v>0.875</v>
      </c>
      <c r="S28" s="1">
        <v>1.163</v>
      </c>
      <c r="T28">
        <f t="shared" si="8"/>
        <v>0.96700000000000008</v>
      </c>
      <c r="U28" s="1">
        <v>1.0620000000000001</v>
      </c>
      <c r="V28">
        <f t="shared" si="9"/>
        <v>0.87200000000000011</v>
      </c>
      <c r="W28" s="1">
        <v>0.88200000000000001</v>
      </c>
      <c r="X28">
        <f t="shared" si="10"/>
        <v>0.69799999999999995</v>
      </c>
      <c r="Y28" s="1">
        <v>1.2909999999999999</v>
      </c>
      <c r="Z28">
        <f t="shared" si="11"/>
        <v>1.0639999999999998</v>
      </c>
      <c r="AA28" s="1">
        <v>1.014</v>
      </c>
      <c r="AB28">
        <f t="shared" si="12"/>
        <v>0.82200000000000006</v>
      </c>
      <c r="AC28" s="1">
        <v>0.76100000000000001</v>
      </c>
      <c r="AD28">
        <f t="shared" si="13"/>
        <v>0.58600000000000008</v>
      </c>
      <c r="AE28" s="1">
        <v>1.044</v>
      </c>
      <c r="AF28">
        <f t="shared" si="14"/>
        <v>0.82800000000000007</v>
      </c>
      <c r="AG28">
        <v>1.07</v>
      </c>
      <c r="AH28">
        <f t="shared" si="15"/>
        <v>0.90600000000000003</v>
      </c>
      <c r="AI28">
        <v>0.82099999999999995</v>
      </c>
      <c r="AJ28">
        <f t="shared" si="16"/>
        <v>0.64500000000000002</v>
      </c>
      <c r="AK28">
        <v>0.91400000000000003</v>
      </c>
      <c r="AL28">
        <f t="shared" si="17"/>
        <v>0.71100000000000008</v>
      </c>
      <c r="AM28" s="1">
        <v>0.161</v>
      </c>
      <c r="AN28" s="2">
        <f t="shared" si="18"/>
        <v>0.05</v>
      </c>
      <c r="AO28" s="1">
        <v>0.152</v>
      </c>
      <c r="AP28" s="2">
        <f t="shared" si="19"/>
        <v>4.2999999999999997E-2</v>
      </c>
      <c r="AQ28" s="1">
        <v>0.21099999999999999</v>
      </c>
      <c r="AR28" s="2">
        <f t="shared" si="20"/>
        <v>9.8999999999999991E-2</v>
      </c>
      <c r="AS28" s="1">
        <v>0.71799999999999997</v>
      </c>
      <c r="AT28" s="2">
        <f t="shared" si="21"/>
        <v>0.52200000000000002</v>
      </c>
      <c r="AU28" s="1">
        <v>0.74299999999999999</v>
      </c>
      <c r="AV28" s="2">
        <f t="shared" si="22"/>
        <v>0.54499999999999993</v>
      </c>
      <c r="AW28" s="1">
        <v>0.80800000000000005</v>
      </c>
      <c r="AX28" s="2">
        <f t="shared" si="23"/>
        <v>0.60200000000000009</v>
      </c>
      <c r="AY28" s="1">
        <v>1.06</v>
      </c>
      <c r="AZ28">
        <f t="shared" si="24"/>
        <v>0.85100000000000009</v>
      </c>
      <c r="BA28" s="1">
        <v>1.02</v>
      </c>
      <c r="BB28">
        <f t="shared" si="25"/>
        <v>0.81400000000000006</v>
      </c>
      <c r="BC28" s="1">
        <v>1.0649999999999999</v>
      </c>
      <c r="BD28">
        <f t="shared" si="26"/>
        <v>0.85099999999999998</v>
      </c>
      <c r="BE28" s="1">
        <v>1.286</v>
      </c>
      <c r="BF28">
        <f t="shared" si="27"/>
        <v>1.069</v>
      </c>
      <c r="BG28" s="1">
        <v>1.206</v>
      </c>
      <c r="BH28">
        <f t="shared" si="28"/>
        <v>1.0009999999999999</v>
      </c>
      <c r="BI28" s="1">
        <v>1.1839999999999999</v>
      </c>
      <c r="BJ28">
        <f t="shared" si="29"/>
        <v>0.97799999999999998</v>
      </c>
      <c r="BK28" s="1">
        <v>1.2090000000000001</v>
      </c>
      <c r="BL28">
        <f t="shared" si="30"/>
        <v>0.9900000000000001</v>
      </c>
      <c r="BM28" s="1">
        <v>1.177</v>
      </c>
      <c r="BN28">
        <f t="shared" si="31"/>
        <v>0.96100000000000008</v>
      </c>
      <c r="BO28" s="1">
        <v>1.107</v>
      </c>
      <c r="BP28">
        <f t="shared" si="32"/>
        <v>0.88600000000000001</v>
      </c>
      <c r="BQ28">
        <v>1.1499999999999999</v>
      </c>
      <c r="BR28">
        <f t="shared" si="33"/>
        <v>0.93099999999999994</v>
      </c>
      <c r="BS28">
        <v>1.1259999999999999</v>
      </c>
      <c r="BT28">
        <f t="shared" si="34"/>
        <v>0.92399999999999993</v>
      </c>
      <c r="BU28">
        <v>1.119</v>
      </c>
      <c r="BV28">
        <f t="shared" si="35"/>
        <v>0.89500000000000002</v>
      </c>
      <c r="BW28" s="1">
        <v>0.11799999999999999</v>
      </c>
      <c r="BX28" s="2">
        <f t="shared" si="36"/>
        <v>-4.1000000000000009E-2</v>
      </c>
      <c r="BY28" s="1">
        <v>0.14399999999999999</v>
      </c>
      <c r="BZ28" s="2">
        <f t="shared" si="37"/>
        <v>3.9999999999999994E-2</v>
      </c>
      <c r="CA28" s="1">
        <v>0.20200000000000001</v>
      </c>
      <c r="CB28" s="2">
        <f t="shared" si="38"/>
        <v>-0.28699999999999998</v>
      </c>
      <c r="CC28" s="1">
        <v>0.72899999999999998</v>
      </c>
      <c r="CD28" s="2">
        <f t="shared" si="39"/>
        <v>0.51400000000000001</v>
      </c>
      <c r="CE28" s="1">
        <v>0.73499999999999999</v>
      </c>
      <c r="CF28" s="2">
        <f t="shared" si="40"/>
        <v>0.55299999999999994</v>
      </c>
      <c r="CG28" s="1">
        <v>0.71199999999999997</v>
      </c>
      <c r="CH28" s="2">
        <f t="shared" si="41"/>
        <v>0.52099999999999991</v>
      </c>
      <c r="CI28" s="1">
        <v>1.018</v>
      </c>
      <c r="CJ28">
        <f t="shared" si="42"/>
        <v>0.80800000000000005</v>
      </c>
      <c r="CK28" s="1">
        <v>1.0589999999999999</v>
      </c>
      <c r="CL28">
        <f t="shared" si="43"/>
        <v>0.86399999999999988</v>
      </c>
      <c r="CM28" s="1">
        <v>1.06</v>
      </c>
      <c r="CN28">
        <f t="shared" si="44"/>
        <v>0.85300000000000009</v>
      </c>
      <c r="CO28" s="1">
        <v>1.175</v>
      </c>
      <c r="CP28">
        <f t="shared" si="45"/>
        <v>0.95800000000000007</v>
      </c>
      <c r="CQ28" s="1">
        <v>1.147</v>
      </c>
      <c r="CR28">
        <f t="shared" si="46"/>
        <v>0.94799999999999995</v>
      </c>
      <c r="CS28" s="1">
        <v>1.1519999999999999</v>
      </c>
      <c r="CT28">
        <f t="shared" si="47"/>
        <v>0.95199999999999996</v>
      </c>
      <c r="CU28" s="1">
        <v>1.0649999999999999</v>
      </c>
      <c r="CV28">
        <f t="shared" si="48"/>
        <v>0.84499999999999997</v>
      </c>
      <c r="CW28" s="1">
        <v>1.1080000000000001</v>
      </c>
      <c r="CX28">
        <f t="shared" si="49"/>
        <v>0.90200000000000014</v>
      </c>
      <c r="CY28" s="1">
        <v>1.099</v>
      </c>
      <c r="CZ28">
        <f t="shared" si="50"/>
        <v>0.89100000000000001</v>
      </c>
      <c r="DA28">
        <v>1.0680000000000001</v>
      </c>
      <c r="DB28">
        <f t="shared" si="51"/>
        <v>0.85200000000000009</v>
      </c>
      <c r="DC28">
        <v>1.111</v>
      </c>
      <c r="DD28">
        <f t="shared" si="52"/>
        <v>0.90799999999999992</v>
      </c>
      <c r="DE28">
        <v>1.18</v>
      </c>
      <c r="DF28">
        <f t="shared" si="53"/>
        <v>0.97499999999999998</v>
      </c>
    </row>
    <row r="29" spans="1:110">
      <c r="A29" t="s">
        <v>109</v>
      </c>
      <c r="B29" t="s">
        <v>110</v>
      </c>
      <c r="C29" s="1">
        <v>0.124</v>
      </c>
      <c r="D29" s="1">
        <f t="shared" si="0"/>
        <v>0</v>
      </c>
      <c r="E29" s="1">
        <v>0.124</v>
      </c>
      <c r="F29">
        <f t="shared" si="1"/>
        <v>6.0000000000000053E-3</v>
      </c>
      <c r="G29" s="1">
        <v>0.11600000000000001</v>
      </c>
      <c r="H29">
        <f t="shared" si="2"/>
        <v>-1.8000000000000002E-2</v>
      </c>
      <c r="I29" s="1">
        <v>0.16200000000000001</v>
      </c>
      <c r="J29">
        <f t="shared" si="3"/>
        <v>-9.9999999999999811E-3</v>
      </c>
      <c r="K29" s="1">
        <v>0.182</v>
      </c>
      <c r="L29">
        <f t="shared" si="4"/>
        <v>6.0000000000000053E-3</v>
      </c>
      <c r="M29" s="1">
        <v>0.17</v>
      </c>
      <c r="N29">
        <f t="shared" si="5"/>
        <v>3.0000000000000027E-3</v>
      </c>
      <c r="O29" s="1">
        <v>0.14399999999999999</v>
      </c>
      <c r="P29">
        <f t="shared" si="6"/>
        <v>-2.300000000000002E-2</v>
      </c>
      <c r="Q29" s="1">
        <v>0.13900000000000001</v>
      </c>
      <c r="R29">
        <f t="shared" si="7"/>
        <v>-3.2000000000000001E-2</v>
      </c>
      <c r="S29" s="1">
        <v>0.13800000000000001</v>
      </c>
      <c r="T29">
        <f t="shared" si="8"/>
        <v>-5.7999999999999996E-2</v>
      </c>
      <c r="U29" s="1">
        <v>0.13300000000000001</v>
      </c>
      <c r="V29">
        <f t="shared" si="9"/>
        <v>-5.6999999999999995E-2</v>
      </c>
      <c r="W29" s="1">
        <v>0.13700000000000001</v>
      </c>
      <c r="X29">
        <f t="shared" si="10"/>
        <v>-4.6999999999999986E-2</v>
      </c>
      <c r="Y29" s="1">
        <v>0.13100000000000001</v>
      </c>
      <c r="Z29">
        <f t="shared" si="11"/>
        <v>-9.6000000000000002E-2</v>
      </c>
      <c r="AA29" s="1">
        <v>0.14299999999999999</v>
      </c>
      <c r="AB29">
        <f t="shared" si="12"/>
        <v>-4.9000000000000016E-2</v>
      </c>
      <c r="AC29" s="1">
        <v>0.13700000000000001</v>
      </c>
      <c r="AD29">
        <f t="shared" si="13"/>
        <v>-3.7999999999999978E-2</v>
      </c>
      <c r="AE29" s="1">
        <v>0.13200000000000001</v>
      </c>
      <c r="AF29">
        <f t="shared" si="14"/>
        <v>-8.3999999999999991E-2</v>
      </c>
      <c r="AG29">
        <v>0.14599999999999999</v>
      </c>
      <c r="AH29">
        <f t="shared" si="15"/>
        <v>-1.8000000000000016E-2</v>
      </c>
      <c r="AI29">
        <v>0.13800000000000001</v>
      </c>
      <c r="AJ29">
        <f t="shared" si="16"/>
        <v>-3.7999999999999978E-2</v>
      </c>
      <c r="AK29">
        <v>0.13300000000000001</v>
      </c>
      <c r="AL29">
        <f t="shared" si="17"/>
        <v>-7.0000000000000007E-2</v>
      </c>
      <c r="AM29" s="1">
        <v>0.11799999999999999</v>
      </c>
      <c r="AN29" s="2">
        <f t="shared" si="18"/>
        <v>6.9999999999999923E-3</v>
      </c>
      <c r="AO29" s="1">
        <v>0.13700000000000001</v>
      </c>
      <c r="AP29" s="2">
        <f t="shared" si="19"/>
        <v>2.8000000000000011E-2</v>
      </c>
      <c r="AQ29" s="1">
        <v>0.19800000000000001</v>
      </c>
      <c r="AR29" s="2">
        <f t="shared" si="20"/>
        <v>8.6000000000000007E-2</v>
      </c>
      <c r="AS29" s="1">
        <v>0.16800000000000001</v>
      </c>
      <c r="AT29" s="2">
        <f t="shared" si="21"/>
        <v>-2.7999999999999997E-2</v>
      </c>
      <c r="AU29" s="1">
        <v>0.18</v>
      </c>
      <c r="AV29" s="2">
        <f t="shared" si="22"/>
        <v>-1.8000000000000016E-2</v>
      </c>
      <c r="AW29" s="1">
        <v>0.23899999999999999</v>
      </c>
      <c r="AX29" s="2">
        <f t="shared" si="23"/>
        <v>3.3000000000000002E-2</v>
      </c>
      <c r="AY29" s="1">
        <v>0.17599999999999999</v>
      </c>
      <c r="AZ29">
        <f t="shared" si="24"/>
        <v>-3.3000000000000002E-2</v>
      </c>
      <c r="BA29" s="1">
        <v>0.191</v>
      </c>
      <c r="BB29">
        <f t="shared" si="25"/>
        <v>-1.4999999999999986E-2</v>
      </c>
      <c r="BC29" s="1">
        <v>0.183</v>
      </c>
      <c r="BD29">
        <f t="shared" si="26"/>
        <v>-3.1E-2</v>
      </c>
      <c r="BE29" s="1">
        <v>0.17399999999999999</v>
      </c>
      <c r="BF29">
        <f t="shared" si="27"/>
        <v>-4.300000000000001E-2</v>
      </c>
      <c r="BG29" s="1">
        <v>0.18099999999999999</v>
      </c>
      <c r="BH29">
        <f t="shared" si="28"/>
        <v>-2.3999999999999994E-2</v>
      </c>
      <c r="BI29" s="1">
        <v>0.19</v>
      </c>
      <c r="BJ29">
        <f t="shared" si="29"/>
        <v>-1.5999999999999986E-2</v>
      </c>
      <c r="BK29" s="1">
        <v>0.17599999999999999</v>
      </c>
      <c r="BL29">
        <f t="shared" si="30"/>
        <v>-4.300000000000001E-2</v>
      </c>
      <c r="BM29" s="1">
        <v>0.184</v>
      </c>
      <c r="BN29">
        <f t="shared" si="31"/>
        <v>-3.2000000000000001E-2</v>
      </c>
      <c r="BO29" s="1">
        <v>0.17299999999999999</v>
      </c>
      <c r="BP29">
        <f t="shared" si="32"/>
        <v>-4.8000000000000015E-2</v>
      </c>
      <c r="BQ29">
        <v>0.183</v>
      </c>
      <c r="BR29">
        <f t="shared" si="33"/>
        <v>-3.6000000000000004E-2</v>
      </c>
      <c r="BS29">
        <v>0.19</v>
      </c>
      <c r="BT29">
        <f t="shared" si="34"/>
        <v>-1.2000000000000011E-2</v>
      </c>
      <c r="BU29">
        <v>0.21199999999999999</v>
      </c>
      <c r="BV29">
        <f t="shared" si="35"/>
        <v>-1.2000000000000011E-2</v>
      </c>
      <c r="BW29" s="1">
        <v>0.13100000000000001</v>
      </c>
      <c r="BX29" s="2">
        <f t="shared" si="36"/>
        <v>-2.7999999999999997E-2</v>
      </c>
      <c r="BY29" s="1">
        <v>0.1</v>
      </c>
      <c r="BZ29" s="2">
        <f t="shared" si="37"/>
        <v>-3.9999999999999897E-3</v>
      </c>
      <c r="CA29" s="1">
        <v>0.20100000000000001</v>
      </c>
      <c r="CB29" s="2">
        <f t="shared" si="38"/>
        <v>-0.28799999999999998</v>
      </c>
      <c r="CC29" s="1">
        <v>0.182</v>
      </c>
      <c r="CD29" s="2">
        <f t="shared" si="39"/>
        <v>-3.3000000000000002E-2</v>
      </c>
      <c r="CE29" s="1">
        <v>0.183</v>
      </c>
      <c r="CF29" s="2">
        <f t="shared" si="40"/>
        <v>1.0000000000000009E-3</v>
      </c>
      <c r="CG29" s="1">
        <v>0.22500000000000001</v>
      </c>
      <c r="CH29" s="2">
        <f t="shared" si="41"/>
        <v>3.4000000000000002E-2</v>
      </c>
      <c r="CI29" s="1">
        <v>0.17</v>
      </c>
      <c r="CJ29">
        <f t="shared" si="42"/>
        <v>-3.999999999999998E-2</v>
      </c>
      <c r="CK29" s="1">
        <v>0.158</v>
      </c>
      <c r="CL29">
        <f t="shared" si="43"/>
        <v>-3.7000000000000005E-2</v>
      </c>
      <c r="CM29" s="1">
        <v>0.18099999999999999</v>
      </c>
      <c r="CN29">
        <f t="shared" si="44"/>
        <v>-2.5999999999999995E-2</v>
      </c>
      <c r="CO29" s="1">
        <v>0.17399999999999999</v>
      </c>
      <c r="CP29">
        <f t="shared" si="45"/>
        <v>-4.300000000000001E-2</v>
      </c>
      <c r="CQ29" s="1">
        <v>0.16</v>
      </c>
      <c r="CR29">
        <f t="shared" si="46"/>
        <v>-3.9000000000000007E-2</v>
      </c>
      <c r="CS29" s="1">
        <v>0.17199999999999999</v>
      </c>
      <c r="CT29">
        <f t="shared" si="47"/>
        <v>-2.8000000000000025E-2</v>
      </c>
      <c r="CU29" s="1">
        <v>0.18</v>
      </c>
      <c r="CV29">
        <f t="shared" si="48"/>
        <v>-4.0000000000000008E-2</v>
      </c>
      <c r="CW29" s="1">
        <v>0.17</v>
      </c>
      <c r="CX29">
        <f t="shared" si="49"/>
        <v>-3.5999999999999976E-2</v>
      </c>
      <c r="CY29" s="1">
        <v>0.17399999999999999</v>
      </c>
      <c r="CZ29">
        <f t="shared" si="50"/>
        <v>-3.4000000000000002E-2</v>
      </c>
      <c r="DA29">
        <v>0.18099999999999999</v>
      </c>
      <c r="DB29">
        <f t="shared" si="51"/>
        <v>-3.5000000000000003E-2</v>
      </c>
      <c r="DC29">
        <v>0.17199999999999999</v>
      </c>
      <c r="DD29">
        <f t="shared" si="52"/>
        <v>-3.1000000000000028E-2</v>
      </c>
      <c r="DE29">
        <v>0.20699999999999999</v>
      </c>
      <c r="DF29">
        <f t="shared" si="53"/>
        <v>2.0000000000000018E-3</v>
      </c>
    </row>
    <row r="30" spans="1:110">
      <c r="A30" t="s">
        <v>111</v>
      </c>
      <c r="B30" t="s">
        <v>112</v>
      </c>
      <c r="C30" s="1">
        <v>0.13900000000000001</v>
      </c>
      <c r="D30" s="1">
        <f t="shared" si="0"/>
        <v>1.5000000000000013E-2</v>
      </c>
      <c r="E30" s="1">
        <v>0.106</v>
      </c>
      <c r="F30">
        <f t="shared" si="1"/>
        <v>-1.1999999999999997E-2</v>
      </c>
      <c r="G30" s="1">
        <v>0.105</v>
      </c>
      <c r="H30">
        <f t="shared" si="2"/>
        <v>-2.9000000000000012E-2</v>
      </c>
      <c r="I30" s="1">
        <v>0.187</v>
      </c>
      <c r="J30">
        <f t="shared" si="3"/>
        <v>1.5000000000000013E-2</v>
      </c>
      <c r="K30" s="1">
        <v>0.23599999999999999</v>
      </c>
      <c r="L30">
        <f t="shared" si="4"/>
        <v>0.06</v>
      </c>
      <c r="M30" s="1">
        <v>0.23100000000000001</v>
      </c>
      <c r="N30">
        <f t="shared" si="5"/>
        <v>6.4000000000000001E-2</v>
      </c>
      <c r="O30" s="1">
        <v>0.189</v>
      </c>
      <c r="P30">
        <f t="shared" si="6"/>
        <v>2.1999999999999992E-2</v>
      </c>
      <c r="Q30" s="1">
        <v>0.23699999999999999</v>
      </c>
      <c r="R30">
        <f t="shared" si="7"/>
        <v>6.5999999999999975E-2</v>
      </c>
      <c r="S30" s="1">
        <v>0.23200000000000001</v>
      </c>
      <c r="T30">
        <f t="shared" si="8"/>
        <v>3.6000000000000004E-2</v>
      </c>
      <c r="U30" s="1">
        <v>0.19</v>
      </c>
      <c r="V30">
        <f t="shared" si="9"/>
        <v>0</v>
      </c>
      <c r="W30" s="1">
        <v>0.23</v>
      </c>
      <c r="X30">
        <f t="shared" si="10"/>
        <v>4.6000000000000013E-2</v>
      </c>
      <c r="Y30" s="1">
        <v>0.20799999999999999</v>
      </c>
      <c r="Z30">
        <f t="shared" si="11"/>
        <v>-1.9000000000000017E-2</v>
      </c>
      <c r="AA30" s="1">
        <v>0.186</v>
      </c>
      <c r="AB30">
        <f t="shared" si="12"/>
        <v>-6.0000000000000053E-3</v>
      </c>
      <c r="AC30" s="1">
        <v>0.22700000000000001</v>
      </c>
      <c r="AD30">
        <f t="shared" si="13"/>
        <v>5.2000000000000018E-2</v>
      </c>
      <c r="AE30" s="1">
        <v>0.20799999999999999</v>
      </c>
      <c r="AF30">
        <f t="shared" si="14"/>
        <v>-8.0000000000000071E-3</v>
      </c>
      <c r="AG30">
        <v>0.18099999999999999</v>
      </c>
      <c r="AH30">
        <f t="shared" si="15"/>
        <v>1.6999999999999987E-2</v>
      </c>
      <c r="AI30">
        <v>0.222</v>
      </c>
      <c r="AJ30">
        <f t="shared" si="16"/>
        <v>4.6000000000000013E-2</v>
      </c>
      <c r="AK30">
        <v>0.20399999999999999</v>
      </c>
      <c r="AL30">
        <f t="shared" si="17"/>
        <v>9.9999999999997313E-4</v>
      </c>
      <c r="AM30" s="1">
        <v>9.8000000000000004E-2</v>
      </c>
      <c r="AN30" s="2">
        <f t="shared" si="18"/>
        <v>-1.2999999999999998E-2</v>
      </c>
      <c r="AO30" s="1">
        <v>0.111</v>
      </c>
      <c r="AP30" s="2">
        <f t="shared" si="19"/>
        <v>2.0000000000000018E-3</v>
      </c>
      <c r="AQ30" s="1">
        <v>0.17</v>
      </c>
      <c r="AR30" s="2">
        <f t="shared" si="20"/>
        <v>5.800000000000001E-2</v>
      </c>
      <c r="AS30" s="1">
        <v>0.186</v>
      </c>
      <c r="AT30" s="2">
        <f t="shared" si="21"/>
        <v>-1.0000000000000009E-2</v>
      </c>
      <c r="AU30" s="1">
        <v>0.221</v>
      </c>
      <c r="AV30" s="2">
        <f t="shared" si="22"/>
        <v>2.2999999999999993E-2</v>
      </c>
      <c r="AW30" s="1">
        <v>0.28299999999999997</v>
      </c>
      <c r="AX30" s="2">
        <f t="shared" si="23"/>
        <v>7.6999999999999985E-2</v>
      </c>
      <c r="AY30" s="1">
        <v>0.224</v>
      </c>
      <c r="AZ30">
        <f t="shared" si="24"/>
        <v>1.5000000000000013E-2</v>
      </c>
      <c r="BA30" s="1">
        <v>0.25900000000000001</v>
      </c>
      <c r="BB30">
        <f t="shared" si="25"/>
        <v>5.3000000000000019E-2</v>
      </c>
      <c r="BC30" s="1">
        <v>0.26300000000000001</v>
      </c>
      <c r="BD30">
        <f t="shared" si="26"/>
        <v>4.9000000000000016E-2</v>
      </c>
      <c r="BE30" s="1">
        <v>0.22600000000000001</v>
      </c>
      <c r="BF30">
        <f t="shared" si="27"/>
        <v>9.000000000000008E-3</v>
      </c>
      <c r="BG30" s="1">
        <v>0.26200000000000001</v>
      </c>
      <c r="BH30">
        <f t="shared" si="28"/>
        <v>5.7000000000000023E-2</v>
      </c>
      <c r="BI30" s="1">
        <v>0.28499999999999998</v>
      </c>
      <c r="BJ30">
        <f t="shared" si="29"/>
        <v>7.8999999999999987E-2</v>
      </c>
      <c r="BK30" s="1">
        <v>0.223</v>
      </c>
      <c r="BL30">
        <f t="shared" si="30"/>
        <v>4.0000000000000036E-3</v>
      </c>
      <c r="BM30" s="1">
        <v>0.25900000000000001</v>
      </c>
      <c r="BN30">
        <f t="shared" si="31"/>
        <v>4.300000000000001E-2</v>
      </c>
      <c r="BO30" s="1">
        <v>0.27100000000000002</v>
      </c>
      <c r="BP30">
        <f t="shared" si="32"/>
        <v>5.0000000000000017E-2</v>
      </c>
      <c r="BQ30">
        <v>0.224</v>
      </c>
      <c r="BR30">
        <f t="shared" si="33"/>
        <v>5.0000000000000044E-3</v>
      </c>
      <c r="BS30">
        <v>0.26800000000000002</v>
      </c>
      <c r="BT30">
        <f t="shared" si="34"/>
        <v>6.6000000000000003E-2</v>
      </c>
      <c r="BU30">
        <v>0.30299999999999999</v>
      </c>
      <c r="BV30">
        <f t="shared" si="35"/>
        <v>7.8999999999999987E-2</v>
      </c>
      <c r="BW30" s="1">
        <v>0.124</v>
      </c>
      <c r="BX30" s="2">
        <f t="shared" si="36"/>
        <v>-3.5000000000000003E-2</v>
      </c>
      <c r="BY30" s="1">
        <v>0.10100000000000001</v>
      </c>
      <c r="BZ30" s="2">
        <f t="shared" si="37"/>
        <v>-2.9999999999999888E-3</v>
      </c>
      <c r="CA30" s="1">
        <v>0.16700000000000001</v>
      </c>
      <c r="CB30" s="2">
        <f t="shared" si="38"/>
        <v>-0.32199999999999995</v>
      </c>
      <c r="CC30" s="1">
        <v>0.20499999999999999</v>
      </c>
      <c r="CD30" s="2">
        <f t="shared" si="39"/>
        <v>-1.0000000000000009E-2</v>
      </c>
      <c r="CE30" s="1">
        <v>0.17899999999999999</v>
      </c>
      <c r="CF30" s="2">
        <f t="shared" si="40"/>
        <v>-3.0000000000000027E-3</v>
      </c>
      <c r="CG30" s="1">
        <v>0.218</v>
      </c>
      <c r="CH30" s="2">
        <f t="shared" si="41"/>
        <v>2.6999999999999996E-2</v>
      </c>
      <c r="CI30" s="1">
        <v>0.24299999999999999</v>
      </c>
      <c r="CJ30">
        <f t="shared" si="42"/>
        <v>3.3000000000000002E-2</v>
      </c>
      <c r="CK30" s="1">
        <v>0.20599999999999999</v>
      </c>
      <c r="CL30">
        <f t="shared" si="43"/>
        <v>1.0999999999999982E-2</v>
      </c>
      <c r="CM30" s="1">
        <v>0.215</v>
      </c>
      <c r="CN30">
        <f t="shared" si="44"/>
        <v>8.0000000000000071E-3</v>
      </c>
      <c r="CO30" s="1">
        <v>0.246</v>
      </c>
      <c r="CP30">
        <f t="shared" si="45"/>
        <v>2.8999999999999998E-2</v>
      </c>
      <c r="CQ30" s="1">
        <v>0.20699999999999999</v>
      </c>
      <c r="CR30">
        <f t="shared" si="46"/>
        <v>7.9999999999999793E-3</v>
      </c>
      <c r="CS30" s="1">
        <v>0.218</v>
      </c>
      <c r="CT30">
        <f t="shared" si="47"/>
        <v>1.7999999999999988E-2</v>
      </c>
      <c r="CU30" s="1">
        <v>0.24</v>
      </c>
      <c r="CV30">
        <f t="shared" si="48"/>
        <v>1.999999999999999E-2</v>
      </c>
      <c r="CW30" s="1">
        <v>0.214</v>
      </c>
      <c r="CX30">
        <f t="shared" si="49"/>
        <v>8.0000000000000071E-3</v>
      </c>
      <c r="CY30" s="1">
        <v>0.20599999999999999</v>
      </c>
      <c r="CZ30">
        <f t="shared" si="50"/>
        <v>-2.0000000000000018E-3</v>
      </c>
      <c r="DA30">
        <v>0.23799999999999999</v>
      </c>
      <c r="DB30">
        <f t="shared" si="51"/>
        <v>2.1999999999999992E-2</v>
      </c>
      <c r="DC30">
        <v>0.2</v>
      </c>
      <c r="DD30">
        <f t="shared" si="52"/>
        <v>-3.0000000000000027E-3</v>
      </c>
      <c r="DE30">
        <v>0.255</v>
      </c>
      <c r="DF30">
        <f t="shared" si="53"/>
        <v>5.0000000000000017E-2</v>
      </c>
    </row>
    <row r="31" spans="1:110">
      <c r="A31" t="s">
        <v>113</v>
      </c>
      <c r="B31" t="s">
        <v>114</v>
      </c>
      <c r="C31" s="1">
        <v>0.121</v>
      </c>
      <c r="D31" s="1">
        <f t="shared" si="0"/>
        <v>-3.0000000000000027E-3</v>
      </c>
      <c r="E31" s="1">
        <v>0.14399999999999999</v>
      </c>
      <c r="F31">
        <f t="shared" si="1"/>
        <v>2.5999999999999995E-2</v>
      </c>
      <c r="G31" s="1">
        <v>0.115</v>
      </c>
      <c r="H31">
        <f t="shared" si="2"/>
        <v>-1.9000000000000003E-2</v>
      </c>
      <c r="I31" s="1">
        <v>0.223</v>
      </c>
      <c r="J31">
        <f t="shared" si="3"/>
        <v>5.1000000000000018E-2</v>
      </c>
      <c r="K31" s="1">
        <v>0.312</v>
      </c>
      <c r="L31">
        <f t="shared" si="4"/>
        <v>0.13600000000000001</v>
      </c>
      <c r="M31" s="1">
        <v>0.30099999999999999</v>
      </c>
      <c r="N31">
        <f t="shared" si="5"/>
        <v>0.13399999999999998</v>
      </c>
      <c r="O31" s="1">
        <v>0.19900000000000001</v>
      </c>
      <c r="P31">
        <f t="shared" si="6"/>
        <v>3.2000000000000001E-2</v>
      </c>
      <c r="Q31" s="1">
        <v>0.29199999999999998</v>
      </c>
      <c r="R31">
        <f t="shared" si="7"/>
        <v>0.12099999999999997</v>
      </c>
      <c r="S31" s="1">
        <v>0.26900000000000002</v>
      </c>
      <c r="T31">
        <f t="shared" si="8"/>
        <v>7.3000000000000009E-2</v>
      </c>
      <c r="U31" s="1">
        <v>0.19600000000000001</v>
      </c>
      <c r="V31">
        <f t="shared" si="9"/>
        <v>6.0000000000000053E-3</v>
      </c>
      <c r="W31" s="1">
        <v>0.27700000000000002</v>
      </c>
      <c r="X31">
        <f t="shared" si="10"/>
        <v>9.3000000000000027E-2</v>
      </c>
      <c r="Y31" s="1">
        <v>0.25900000000000001</v>
      </c>
      <c r="Z31">
        <f t="shared" si="11"/>
        <v>3.2000000000000001E-2</v>
      </c>
      <c r="AA31" s="1">
        <v>0.193</v>
      </c>
      <c r="AB31">
        <f t="shared" si="12"/>
        <v>1.0000000000000009E-3</v>
      </c>
      <c r="AC31" s="1">
        <v>0.27300000000000002</v>
      </c>
      <c r="AD31">
        <f t="shared" si="13"/>
        <v>9.8000000000000032E-2</v>
      </c>
      <c r="AE31" s="1">
        <v>0.25800000000000001</v>
      </c>
      <c r="AF31">
        <f t="shared" si="14"/>
        <v>4.200000000000001E-2</v>
      </c>
      <c r="AG31">
        <v>0.191</v>
      </c>
      <c r="AH31">
        <f t="shared" si="15"/>
        <v>2.6999999999999996E-2</v>
      </c>
      <c r="AI31">
        <v>0.27</v>
      </c>
      <c r="AJ31">
        <f t="shared" si="16"/>
        <v>9.4000000000000028E-2</v>
      </c>
      <c r="AK31">
        <v>0.25600000000000001</v>
      </c>
      <c r="AL31">
        <f t="shared" si="17"/>
        <v>5.2999999999999992E-2</v>
      </c>
      <c r="AM31" s="1">
        <v>0.113</v>
      </c>
      <c r="AN31" s="2">
        <f t="shared" si="18"/>
        <v>2.0000000000000018E-3</v>
      </c>
      <c r="AO31" s="1">
        <v>0.123</v>
      </c>
      <c r="AP31" s="2">
        <f t="shared" si="19"/>
        <v>1.3999999999999999E-2</v>
      </c>
      <c r="AQ31" s="1">
        <v>0.189</v>
      </c>
      <c r="AR31" s="2">
        <f t="shared" si="20"/>
        <v>7.6999999999999999E-2</v>
      </c>
      <c r="AS31" s="1">
        <v>0.28999999999999998</v>
      </c>
      <c r="AT31" s="2">
        <f t="shared" si="21"/>
        <v>9.3999999999999972E-2</v>
      </c>
      <c r="AU31" s="1">
        <v>0.30599999999999999</v>
      </c>
      <c r="AV31" s="2">
        <f t="shared" si="22"/>
        <v>0.10799999999999998</v>
      </c>
      <c r="AW31" s="1">
        <v>0.36099999999999999</v>
      </c>
      <c r="AX31" s="2">
        <f t="shared" si="23"/>
        <v>0.155</v>
      </c>
      <c r="AY31" s="1">
        <v>0.3</v>
      </c>
      <c r="AZ31">
        <f t="shared" si="24"/>
        <v>9.0999999999999998E-2</v>
      </c>
      <c r="BA31" s="1">
        <v>0.314</v>
      </c>
      <c r="BB31">
        <f t="shared" si="25"/>
        <v>0.10800000000000001</v>
      </c>
      <c r="BC31" s="1">
        <v>0.33700000000000002</v>
      </c>
      <c r="BD31">
        <f t="shared" si="26"/>
        <v>0.12300000000000003</v>
      </c>
      <c r="BE31" s="1">
        <v>0.30499999999999999</v>
      </c>
      <c r="BF31">
        <f t="shared" si="27"/>
        <v>8.7999999999999995E-2</v>
      </c>
      <c r="BG31" s="1">
        <v>0.318</v>
      </c>
      <c r="BH31">
        <f t="shared" si="28"/>
        <v>0.11300000000000002</v>
      </c>
      <c r="BI31" s="1">
        <v>0.34699999999999998</v>
      </c>
      <c r="BJ31">
        <f t="shared" si="29"/>
        <v>0.14099999999999999</v>
      </c>
      <c r="BK31" s="1">
        <v>0.30199999999999999</v>
      </c>
      <c r="BL31">
        <f t="shared" si="30"/>
        <v>8.299999999999999E-2</v>
      </c>
      <c r="BM31" s="1">
        <v>0.318</v>
      </c>
      <c r="BN31">
        <f t="shared" si="31"/>
        <v>0.10200000000000001</v>
      </c>
      <c r="BO31" s="1">
        <v>0.33</v>
      </c>
      <c r="BP31">
        <f t="shared" si="32"/>
        <v>0.10900000000000001</v>
      </c>
      <c r="BQ31">
        <v>0.307</v>
      </c>
      <c r="BR31">
        <f t="shared" si="33"/>
        <v>8.7999999999999995E-2</v>
      </c>
      <c r="BS31">
        <v>0.32300000000000001</v>
      </c>
      <c r="BT31">
        <f t="shared" si="34"/>
        <v>0.121</v>
      </c>
      <c r="BU31">
        <v>0.35699999999999998</v>
      </c>
      <c r="BV31">
        <f t="shared" si="35"/>
        <v>0.13299999999999998</v>
      </c>
      <c r="BW31" s="1">
        <v>0.121</v>
      </c>
      <c r="BX31" s="2">
        <f t="shared" si="36"/>
        <v>-3.8000000000000006E-2</v>
      </c>
      <c r="BY31" s="1">
        <v>0.112</v>
      </c>
      <c r="BZ31" s="2">
        <f t="shared" si="37"/>
        <v>8.0000000000000071E-3</v>
      </c>
      <c r="CA31" s="1">
        <v>0.214</v>
      </c>
      <c r="CB31" s="2">
        <f t="shared" si="38"/>
        <v>-0.27500000000000002</v>
      </c>
      <c r="CC31" s="1">
        <v>0.27200000000000002</v>
      </c>
      <c r="CD31" s="2">
        <f t="shared" si="39"/>
        <v>5.7000000000000023E-2</v>
      </c>
      <c r="CE31" s="1">
        <v>0.24399999999999999</v>
      </c>
      <c r="CF31" s="2">
        <f t="shared" si="40"/>
        <v>6.2E-2</v>
      </c>
      <c r="CG31" s="1">
        <v>0.32800000000000001</v>
      </c>
      <c r="CH31" s="2">
        <f t="shared" si="41"/>
        <v>0.13700000000000001</v>
      </c>
      <c r="CI31" s="1">
        <v>0.27300000000000002</v>
      </c>
      <c r="CJ31">
        <f t="shared" si="42"/>
        <v>6.3000000000000028E-2</v>
      </c>
      <c r="CK31" s="1">
        <v>0.246</v>
      </c>
      <c r="CL31">
        <f t="shared" si="43"/>
        <v>5.099999999999999E-2</v>
      </c>
      <c r="CM31" s="1">
        <v>0.28599999999999998</v>
      </c>
      <c r="CN31">
        <f t="shared" si="44"/>
        <v>7.8999999999999987E-2</v>
      </c>
      <c r="CO31" s="1">
        <v>0.28000000000000003</v>
      </c>
      <c r="CP31">
        <f t="shared" si="45"/>
        <v>6.3000000000000028E-2</v>
      </c>
      <c r="CQ31" s="1">
        <v>0.251</v>
      </c>
      <c r="CR31">
        <f t="shared" si="46"/>
        <v>5.1999999999999991E-2</v>
      </c>
      <c r="CS31" s="1">
        <v>0.28299999999999997</v>
      </c>
      <c r="CT31">
        <f t="shared" si="47"/>
        <v>8.2999999999999963E-2</v>
      </c>
      <c r="CU31" s="1">
        <v>0.27800000000000002</v>
      </c>
      <c r="CV31">
        <f t="shared" si="48"/>
        <v>5.8000000000000024E-2</v>
      </c>
      <c r="CW31" s="1">
        <v>0.251</v>
      </c>
      <c r="CX31">
        <f t="shared" si="49"/>
        <v>4.5000000000000012E-2</v>
      </c>
      <c r="CY31" s="1">
        <v>0.27400000000000002</v>
      </c>
      <c r="CZ31">
        <f t="shared" si="50"/>
        <v>6.6000000000000031E-2</v>
      </c>
      <c r="DA31">
        <v>0.27200000000000002</v>
      </c>
      <c r="DB31">
        <f t="shared" si="51"/>
        <v>5.6000000000000022E-2</v>
      </c>
      <c r="DC31">
        <v>0.251</v>
      </c>
      <c r="DD31">
        <f t="shared" si="52"/>
        <v>4.7999999999999987E-2</v>
      </c>
      <c r="DE31">
        <v>0.307</v>
      </c>
      <c r="DF31">
        <f t="shared" si="53"/>
        <v>0.10200000000000001</v>
      </c>
    </row>
    <row r="32" spans="1:110">
      <c r="A32" t="s">
        <v>115</v>
      </c>
      <c r="B32" t="s">
        <v>116</v>
      </c>
      <c r="C32" s="1">
        <v>0.113</v>
      </c>
      <c r="D32" s="1">
        <f t="shared" si="0"/>
        <v>-1.0999999999999996E-2</v>
      </c>
      <c r="E32" s="1">
        <v>0.15</v>
      </c>
      <c r="F32">
        <f t="shared" si="1"/>
        <v>3.2000000000000001E-2</v>
      </c>
      <c r="G32" s="1">
        <v>0.121</v>
      </c>
      <c r="H32">
        <f t="shared" si="2"/>
        <v>-1.3000000000000012E-2</v>
      </c>
      <c r="I32" s="1">
        <v>0.19</v>
      </c>
      <c r="J32">
        <f t="shared" si="3"/>
        <v>1.8000000000000016E-2</v>
      </c>
      <c r="K32" s="1">
        <v>0.27800000000000002</v>
      </c>
      <c r="L32">
        <f t="shared" si="4"/>
        <v>0.10200000000000004</v>
      </c>
      <c r="M32" s="1">
        <v>0.26300000000000001</v>
      </c>
      <c r="N32">
        <f t="shared" si="5"/>
        <v>9.6000000000000002E-2</v>
      </c>
      <c r="O32" s="1">
        <v>0.17299999999999999</v>
      </c>
      <c r="P32">
        <f t="shared" si="6"/>
        <v>5.9999999999999776E-3</v>
      </c>
      <c r="Q32" s="1">
        <v>0.252</v>
      </c>
      <c r="R32">
        <f t="shared" si="7"/>
        <v>8.0999999999999989E-2</v>
      </c>
      <c r="S32" s="1">
        <v>0.23300000000000001</v>
      </c>
      <c r="T32">
        <f t="shared" si="8"/>
        <v>3.7000000000000005E-2</v>
      </c>
      <c r="U32" s="1">
        <v>0.249</v>
      </c>
      <c r="V32">
        <f t="shared" si="9"/>
        <v>5.8999999999999997E-2</v>
      </c>
      <c r="W32" s="1">
        <v>0.25600000000000001</v>
      </c>
      <c r="X32">
        <f t="shared" si="10"/>
        <v>7.2000000000000008E-2</v>
      </c>
      <c r="Y32" s="1">
        <v>0.23400000000000001</v>
      </c>
      <c r="Z32">
        <f t="shared" si="11"/>
        <v>7.0000000000000062E-3</v>
      </c>
      <c r="AA32" s="1">
        <v>0.192</v>
      </c>
      <c r="AB32">
        <f t="shared" si="12"/>
        <v>0</v>
      </c>
      <c r="AC32" s="1">
        <v>0.25800000000000001</v>
      </c>
      <c r="AD32">
        <f t="shared" si="13"/>
        <v>8.3000000000000018E-2</v>
      </c>
      <c r="AE32" s="1">
        <v>0.23799999999999999</v>
      </c>
      <c r="AF32">
        <f t="shared" si="14"/>
        <v>2.1999999999999992E-2</v>
      </c>
      <c r="AG32">
        <v>0.22700000000000001</v>
      </c>
      <c r="AH32">
        <f t="shared" si="15"/>
        <v>6.3E-2</v>
      </c>
      <c r="AI32">
        <v>0.255</v>
      </c>
      <c r="AJ32">
        <f t="shared" si="16"/>
        <v>7.9000000000000015E-2</v>
      </c>
      <c r="AK32">
        <v>0.245</v>
      </c>
      <c r="AL32">
        <f t="shared" si="17"/>
        <v>4.1999999999999982E-2</v>
      </c>
      <c r="AM32" s="1">
        <v>0.125</v>
      </c>
      <c r="AN32" s="2">
        <f t="shared" si="18"/>
        <v>1.3999999999999999E-2</v>
      </c>
      <c r="AO32" s="1">
        <v>0.13800000000000001</v>
      </c>
      <c r="AP32" s="2">
        <f t="shared" si="19"/>
        <v>2.9000000000000012E-2</v>
      </c>
      <c r="AQ32" s="1">
        <v>0.193</v>
      </c>
      <c r="AR32" s="2">
        <f t="shared" si="20"/>
        <v>8.1000000000000003E-2</v>
      </c>
      <c r="AS32" s="1">
        <v>0.27800000000000002</v>
      </c>
      <c r="AT32" s="2">
        <f t="shared" si="21"/>
        <v>8.2000000000000017E-2</v>
      </c>
      <c r="AU32" s="1">
        <v>0.28599999999999998</v>
      </c>
      <c r="AV32" s="2">
        <f t="shared" si="22"/>
        <v>8.7999999999999967E-2</v>
      </c>
      <c r="AW32" s="1">
        <v>0.33400000000000002</v>
      </c>
      <c r="AX32" s="2">
        <f t="shared" si="23"/>
        <v>0.12800000000000003</v>
      </c>
      <c r="AY32" s="1">
        <v>0.29399999999999998</v>
      </c>
      <c r="AZ32">
        <f t="shared" si="24"/>
        <v>8.4999999999999992E-2</v>
      </c>
      <c r="BA32" s="1">
        <v>0.29299999999999998</v>
      </c>
      <c r="BB32">
        <f t="shared" si="25"/>
        <v>8.6999999999999994E-2</v>
      </c>
      <c r="BC32" s="1">
        <v>0.30499999999999999</v>
      </c>
      <c r="BD32">
        <f t="shared" si="26"/>
        <v>9.0999999999999998E-2</v>
      </c>
      <c r="BE32" s="1">
        <v>0.29199999999999998</v>
      </c>
      <c r="BF32">
        <f t="shared" si="27"/>
        <v>7.4999999999999983E-2</v>
      </c>
      <c r="BG32" s="1">
        <v>0.29499999999999998</v>
      </c>
      <c r="BH32">
        <f t="shared" si="28"/>
        <v>0.09</v>
      </c>
      <c r="BI32" s="1">
        <v>0.318</v>
      </c>
      <c r="BJ32">
        <f t="shared" si="29"/>
        <v>0.11200000000000002</v>
      </c>
      <c r="BK32" s="1">
        <v>0.28899999999999998</v>
      </c>
      <c r="BL32">
        <f t="shared" si="30"/>
        <v>6.9999999999999979E-2</v>
      </c>
      <c r="BM32" s="1">
        <v>0.29399999999999998</v>
      </c>
      <c r="BN32">
        <f t="shared" si="31"/>
        <v>7.7999999999999986E-2</v>
      </c>
      <c r="BO32" s="1">
        <v>0.3</v>
      </c>
      <c r="BP32">
        <f t="shared" si="32"/>
        <v>7.8999999999999987E-2</v>
      </c>
      <c r="BQ32">
        <v>0.29299999999999998</v>
      </c>
      <c r="BR32">
        <f t="shared" si="33"/>
        <v>7.3999999999999982E-2</v>
      </c>
      <c r="BS32">
        <v>0.29799999999999999</v>
      </c>
      <c r="BT32">
        <f t="shared" si="34"/>
        <v>9.5999999999999974E-2</v>
      </c>
      <c r="BU32">
        <v>0.32800000000000001</v>
      </c>
      <c r="BV32">
        <f t="shared" si="35"/>
        <v>0.10400000000000001</v>
      </c>
      <c r="BW32" s="1">
        <v>0.115</v>
      </c>
      <c r="BX32" s="2">
        <f t="shared" si="36"/>
        <v>-4.3999999999999997E-2</v>
      </c>
      <c r="BY32" s="1">
        <v>0.11700000000000001</v>
      </c>
      <c r="BZ32" s="2">
        <f t="shared" si="37"/>
        <v>1.3000000000000012E-2</v>
      </c>
      <c r="CA32" s="1">
        <v>0.2</v>
      </c>
      <c r="CB32" s="2">
        <f t="shared" si="38"/>
        <v>-0.28899999999999998</v>
      </c>
      <c r="CC32" s="1">
        <v>0.223</v>
      </c>
      <c r="CD32" s="2">
        <f t="shared" si="39"/>
        <v>8.0000000000000071E-3</v>
      </c>
      <c r="CE32" s="1">
        <v>0.23499999999999999</v>
      </c>
      <c r="CF32" s="2">
        <f t="shared" si="40"/>
        <v>5.2999999999999992E-2</v>
      </c>
      <c r="CG32" s="1">
        <v>0.32200000000000001</v>
      </c>
      <c r="CH32" s="2">
        <f t="shared" si="41"/>
        <v>0.13100000000000001</v>
      </c>
      <c r="CI32" s="1">
        <v>0.22900000000000001</v>
      </c>
      <c r="CJ32">
        <f t="shared" si="42"/>
        <v>1.9000000000000017E-2</v>
      </c>
      <c r="CK32" s="1">
        <v>0.248</v>
      </c>
      <c r="CL32">
        <f t="shared" si="43"/>
        <v>5.2999999999999992E-2</v>
      </c>
      <c r="CM32" s="1">
        <v>0.28899999999999998</v>
      </c>
      <c r="CN32">
        <f t="shared" si="44"/>
        <v>8.199999999999999E-2</v>
      </c>
      <c r="CO32" s="1">
        <v>0.23400000000000001</v>
      </c>
      <c r="CP32">
        <f t="shared" si="45"/>
        <v>1.7000000000000015E-2</v>
      </c>
      <c r="CQ32" s="1">
        <v>0.249</v>
      </c>
      <c r="CR32">
        <f t="shared" si="46"/>
        <v>4.9999999999999989E-2</v>
      </c>
      <c r="CS32" s="1">
        <v>0.28399999999999997</v>
      </c>
      <c r="CT32">
        <f t="shared" si="47"/>
        <v>8.3999999999999964E-2</v>
      </c>
      <c r="CU32" s="1">
        <v>0.23</v>
      </c>
      <c r="CV32">
        <f t="shared" si="48"/>
        <v>1.0000000000000009E-2</v>
      </c>
      <c r="CW32" s="1">
        <v>0.246</v>
      </c>
      <c r="CX32">
        <f t="shared" si="49"/>
        <v>4.0000000000000008E-2</v>
      </c>
      <c r="CY32" s="1">
        <v>0.28100000000000003</v>
      </c>
      <c r="CZ32">
        <f t="shared" si="50"/>
        <v>7.3000000000000037E-2</v>
      </c>
      <c r="DA32">
        <v>0.22600000000000001</v>
      </c>
      <c r="DB32">
        <f t="shared" si="51"/>
        <v>1.0000000000000009E-2</v>
      </c>
      <c r="DC32">
        <v>0.24</v>
      </c>
      <c r="DD32">
        <f t="shared" si="52"/>
        <v>3.6999999999999977E-2</v>
      </c>
      <c r="DE32">
        <v>0.30099999999999999</v>
      </c>
      <c r="DF32">
        <f t="shared" si="53"/>
        <v>9.6000000000000002E-2</v>
      </c>
    </row>
    <row r="33" spans="1:110">
      <c r="A33" t="s">
        <v>117</v>
      </c>
      <c r="B33" t="s">
        <v>118</v>
      </c>
      <c r="C33" s="1">
        <v>0.104</v>
      </c>
      <c r="D33" s="1">
        <f t="shared" si="0"/>
        <v>-2.0000000000000004E-2</v>
      </c>
      <c r="E33" s="1">
        <v>0.15</v>
      </c>
      <c r="F33">
        <f t="shared" si="1"/>
        <v>3.2000000000000001E-2</v>
      </c>
      <c r="G33" s="1">
        <v>0.106</v>
      </c>
      <c r="H33">
        <f t="shared" si="2"/>
        <v>-2.8000000000000011E-2</v>
      </c>
      <c r="I33" s="1">
        <v>0.41099999999999998</v>
      </c>
      <c r="J33">
        <f t="shared" si="3"/>
        <v>0.23899999999999999</v>
      </c>
      <c r="K33" s="1">
        <v>0.53500000000000003</v>
      </c>
      <c r="L33">
        <f t="shared" si="4"/>
        <v>0.35900000000000004</v>
      </c>
      <c r="M33" s="1">
        <v>0.45200000000000001</v>
      </c>
      <c r="N33">
        <f t="shared" si="5"/>
        <v>0.28500000000000003</v>
      </c>
      <c r="O33" s="1">
        <v>0.69899999999999995</v>
      </c>
      <c r="P33">
        <f t="shared" si="6"/>
        <v>0.53199999999999992</v>
      </c>
      <c r="Q33" s="1">
        <v>0.68700000000000006</v>
      </c>
      <c r="R33">
        <f t="shared" si="7"/>
        <v>0.51600000000000001</v>
      </c>
      <c r="S33" s="1">
        <v>0.63500000000000001</v>
      </c>
      <c r="T33">
        <f t="shared" si="8"/>
        <v>0.439</v>
      </c>
      <c r="U33" s="1">
        <v>0.78500000000000003</v>
      </c>
      <c r="V33">
        <f t="shared" si="9"/>
        <v>0.59499999999999997</v>
      </c>
      <c r="W33" s="1">
        <v>0.747</v>
      </c>
      <c r="X33">
        <f t="shared" si="10"/>
        <v>0.56299999999999994</v>
      </c>
      <c r="Y33" s="1">
        <v>0.71899999999999997</v>
      </c>
      <c r="Z33">
        <f t="shared" si="11"/>
        <v>0.49199999999999999</v>
      </c>
      <c r="AA33" s="1">
        <v>0.91600000000000004</v>
      </c>
      <c r="AB33">
        <f t="shared" si="12"/>
        <v>0.72399999999999998</v>
      </c>
      <c r="AC33" s="1">
        <v>0.80600000000000005</v>
      </c>
      <c r="AD33">
        <f t="shared" si="13"/>
        <v>0.63100000000000001</v>
      </c>
      <c r="AE33" s="1">
        <v>0.80600000000000005</v>
      </c>
      <c r="AF33">
        <f t="shared" si="14"/>
        <v>0.59000000000000008</v>
      </c>
      <c r="AG33">
        <v>0.94599999999999995</v>
      </c>
      <c r="AH33">
        <f t="shared" si="15"/>
        <v>0.78199999999999992</v>
      </c>
      <c r="AI33">
        <v>0.88600000000000001</v>
      </c>
      <c r="AJ33">
        <f t="shared" si="16"/>
        <v>0.71</v>
      </c>
      <c r="AK33">
        <v>0.93100000000000005</v>
      </c>
      <c r="AL33">
        <f t="shared" si="17"/>
        <v>0.72799999999999998</v>
      </c>
      <c r="AM33" s="1">
        <v>0.128</v>
      </c>
      <c r="AN33" s="2">
        <f t="shared" si="18"/>
        <v>1.7000000000000001E-2</v>
      </c>
      <c r="AO33" s="1">
        <v>0.158</v>
      </c>
      <c r="AP33" s="2">
        <f t="shared" si="19"/>
        <v>4.9000000000000002E-2</v>
      </c>
      <c r="AQ33" s="1">
        <v>0.19700000000000001</v>
      </c>
      <c r="AR33" s="2">
        <f t="shared" si="20"/>
        <v>8.5000000000000006E-2</v>
      </c>
      <c r="AS33" s="1">
        <v>0.41099999999999998</v>
      </c>
      <c r="AT33" s="2">
        <f t="shared" si="21"/>
        <v>0.21499999999999997</v>
      </c>
      <c r="AU33" s="1">
        <v>0.439</v>
      </c>
      <c r="AV33" s="2">
        <f t="shared" si="22"/>
        <v>0.24099999999999999</v>
      </c>
      <c r="AW33" s="1">
        <v>0.52600000000000002</v>
      </c>
      <c r="AX33" s="2">
        <f t="shared" si="23"/>
        <v>0.32000000000000006</v>
      </c>
      <c r="AY33" s="1">
        <v>0.66100000000000003</v>
      </c>
      <c r="AZ33">
        <f t="shared" si="24"/>
        <v>0.45200000000000007</v>
      </c>
      <c r="BA33" s="1">
        <v>0.752</v>
      </c>
      <c r="BB33">
        <f t="shared" si="25"/>
        <v>0.54600000000000004</v>
      </c>
      <c r="BC33" s="1">
        <v>0.72199999999999998</v>
      </c>
      <c r="BD33">
        <f t="shared" si="26"/>
        <v>0.50800000000000001</v>
      </c>
      <c r="BE33" s="1">
        <v>0.80700000000000005</v>
      </c>
      <c r="BF33">
        <f t="shared" si="27"/>
        <v>0.59000000000000008</v>
      </c>
      <c r="BG33" s="1">
        <v>0.90200000000000002</v>
      </c>
      <c r="BH33">
        <f t="shared" si="28"/>
        <v>0.69700000000000006</v>
      </c>
      <c r="BI33" s="1">
        <v>0.8</v>
      </c>
      <c r="BJ33">
        <f t="shared" si="29"/>
        <v>0.59400000000000008</v>
      </c>
      <c r="BK33" s="1">
        <v>0.99</v>
      </c>
      <c r="BL33">
        <f t="shared" si="30"/>
        <v>0.77100000000000002</v>
      </c>
      <c r="BM33" s="1">
        <v>0.995</v>
      </c>
      <c r="BN33">
        <f t="shared" si="31"/>
        <v>0.77900000000000003</v>
      </c>
      <c r="BO33" s="1">
        <v>0.95099999999999996</v>
      </c>
      <c r="BP33">
        <f t="shared" si="32"/>
        <v>0.73</v>
      </c>
      <c r="BQ33">
        <v>1.109</v>
      </c>
      <c r="BR33">
        <f t="shared" si="33"/>
        <v>0.89</v>
      </c>
      <c r="BS33">
        <v>1.083</v>
      </c>
      <c r="BT33">
        <f t="shared" si="34"/>
        <v>0.88100000000000001</v>
      </c>
      <c r="BU33">
        <v>1.018</v>
      </c>
      <c r="BV33">
        <f t="shared" si="35"/>
        <v>0.79400000000000004</v>
      </c>
      <c r="BW33" s="1">
        <v>0.129</v>
      </c>
      <c r="BX33" s="2">
        <f t="shared" si="36"/>
        <v>-0.03</v>
      </c>
      <c r="BY33" s="1">
        <v>0.11899999999999999</v>
      </c>
      <c r="BZ33" s="2">
        <f t="shared" si="37"/>
        <v>1.4999999999999999E-2</v>
      </c>
      <c r="CA33" s="1">
        <v>0.223</v>
      </c>
      <c r="CB33" s="2">
        <f t="shared" si="38"/>
        <v>-0.26600000000000001</v>
      </c>
      <c r="CC33" s="1">
        <v>0.35699999999999998</v>
      </c>
      <c r="CD33" s="2">
        <f t="shared" si="39"/>
        <v>0.14199999999999999</v>
      </c>
      <c r="CE33" s="1">
        <v>0.42599999999999999</v>
      </c>
      <c r="CF33" s="2">
        <f t="shared" si="40"/>
        <v>0.24399999999999999</v>
      </c>
      <c r="CG33" s="1">
        <v>0.46</v>
      </c>
      <c r="CH33" s="2">
        <f t="shared" si="41"/>
        <v>0.26900000000000002</v>
      </c>
      <c r="CI33" s="1">
        <v>0.63200000000000001</v>
      </c>
      <c r="CJ33">
        <f t="shared" si="42"/>
        <v>0.42200000000000004</v>
      </c>
      <c r="CK33" s="1">
        <v>0.68799999999999994</v>
      </c>
      <c r="CL33">
        <f t="shared" si="43"/>
        <v>0.49299999999999994</v>
      </c>
      <c r="CM33" s="1">
        <v>0.73399999999999999</v>
      </c>
      <c r="CN33">
        <f t="shared" si="44"/>
        <v>0.52700000000000002</v>
      </c>
      <c r="CO33" s="1">
        <v>0.747</v>
      </c>
      <c r="CP33">
        <f t="shared" si="45"/>
        <v>0.53</v>
      </c>
      <c r="CQ33" s="1">
        <v>0.83199999999999996</v>
      </c>
      <c r="CR33">
        <f t="shared" si="46"/>
        <v>0.63300000000000001</v>
      </c>
      <c r="CS33" s="1">
        <v>0.86599999999999999</v>
      </c>
      <c r="CT33">
        <f t="shared" si="47"/>
        <v>0.66599999999999993</v>
      </c>
      <c r="CU33" s="1">
        <v>0.92400000000000004</v>
      </c>
      <c r="CV33">
        <f t="shared" si="48"/>
        <v>0.70400000000000007</v>
      </c>
      <c r="CW33" s="1">
        <v>0.96899999999999997</v>
      </c>
      <c r="CX33">
        <f t="shared" si="49"/>
        <v>0.76300000000000001</v>
      </c>
      <c r="CY33" s="1">
        <v>1.0049999999999999</v>
      </c>
      <c r="CZ33">
        <f t="shared" si="50"/>
        <v>0.79699999999999993</v>
      </c>
      <c r="DA33">
        <v>1.052</v>
      </c>
      <c r="DB33">
        <f t="shared" si="51"/>
        <v>0.83600000000000008</v>
      </c>
      <c r="DC33">
        <v>1.054</v>
      </c>
      <c r="DD33">
        <f t="shared" si="52"/>
        <v>0.85099999999999998</v>
      </c>
      <c r="DE33">
        <v>1.1359999999999999</v>
      </c>
      <c r="DF33">
        <f t="shared" si="53"/>
        <v>0.93099999999999994</v>
      </c>
    </row>
    <row r="34" spans="1:110">
      <c r="A34" t="s">
        <v>119</v>
      </c>
      <c r="B34" t="s">
        <v>120</v>
      </c>
      <c r="C34" s="1">
        <v>0.1</v>
      </c>
      <c r="D34" s="1">
        <f t="shared" si="0"/>
        <v>-2.3999999999999994E-2</v>
      </c>
      <c r="E34" s="1">
        <v>0.108</v>
      </c>
      <c r="F34">
        <f t="shared" si="1"/>
        <v>-9.999999999999995E-3</v>
      </c>
      <c r="G34" s="1">
        <v>0.10299999999999999</v>
      </c>
      <c r="H34">
        <f t="shared" si="2"/>
        <v>-3.1000000000000014E-2</v>
      </c>
      <c r="I34" s="1">
        <v>0.71699999999999997</v>
      </c>
      <c r="J34">
        <f t="shared" si="3"/>
        <v>0.54499999999999993</v>
      </c>
      <c r="K34" s="1">
        <v>0.81100000000000005</v>
      </c>
      <c r="L34">
        <f t="shared" si="4"/>
        <v>0.63500000000000001</v>
      </c>
      <c r="M34" s="1">
        <v>0.753</v>
      </c>
      <c r="N34">
        <f t="shared" si="5"/>
        <v>0.58599999999999997</v>
      </c>
      <c r="O34" s="1">
        <v>1.1850000000000001</v>
      </c>
      <c r="P34">
        <f t="shared" si="6"/>
        <v>1.018</v>
      </c>
      <c r="Q34" s="1">
        <v>1.194</v>
      </c>
      <c r="R34">
        <f t="shared" si="7"/>
        <v>1.0229999999999999</v>
      </c>
      <c r="S34" s="1">
        <v>1.204</v>
      </c>
      <c r="T34">
        <f t="shared" si="8"/>
        <v>1.008</v>
      </c>
      <c r="U34" s="1">
        <v>1.42</v>
      </c>
      <c r="V34">
        <f t="shared" si="9"/>
        <v>1.23</v>
      </c>
      <c r="W34" s="1">
        <v>1.415</v>
      </c>
      <c r="X34">
        <f t="shared" si="10"/>
        <v>1.2310000000000001</v>
      </c>
      <c r="Y34" s="1">
        <v>1.39</v>
      </c>
      <c r="Z34">
        <f t="shared" si="11"/>
        <v>1.1629999999999998</v>
      </c>
      <c r="AA34" s="1">
        <v>1.5449999999999999</v>
      </c>
      <c r="AB34">
        <f t="shared" si="12"/>
        <v>1.353</v>
      </c>
      <c r="AC34" s="1">
        <v>1.657</v>
      </c>
      <c r="AD34">
        <f t="shared" si="13"/>
        <v>1.482</v>
      </c>
      <c r="AE34" s="1">
        <v>1.528</v>
      </c>
      <c r="AF34">
        <f t="shared" si="14"/>
        <v>1.3120000000000001</v>
      </c>
      <c r="AG34">
        <v>1.6240000000000001</v>
      </c>
      <c r="AH34">
        <f t="shared" si="15"/>
        <v>1.4600000000000002</v>
      </c>
      <c r="AI34">
        <v>1.825</v>
      </c>
      <c r="AJ34">
        <f t="shared" si="16"/>
        <v>1.649</v>
      </c>
      <c r="AK34">
        <v>1.7050000000000001</v>
      </c>
      <c r="AL34">
        <f t="shared" si="17"/>
        <v>1.502</v>
      </c>
      <c r="AM34" s="1">
        <v>0.10199999999999999</v>
      </c>
      <c r="AN34" s="2">
        <f t="shared" si="18"/>
        <v>-9.000000000000008E-3</v>
      </c>
      <c r="AO34" s="1">
        <v>0.105</v>
      </c>
      <c r="AP34" s="2">
        <f t="shared" si="19"/>
        <v>-4.0000000000000036E-3</v>
      </c>
      <c r="AQ34" s="1">
        <v>0.14799999999999999</v>
      </c>
      <c r="AR34" s="2">
        <f t="shared" si="20"/>
        <v>3.599999999999999E-2</v>
      </c>
      <c r="AS34" s="1">
        <v>0.85499999999999998</v>
      </c>
      <c r="AT34" s="2">
        <f t="shared" si="21"/>
        <v>0.65900000000000003</v>
      </c>
      <c r="AU34" s="1">
        <v>0.88900000000000001</v>
      </c>
      <c r="AV34" s="2">
        <f t="shared" si="22"/>
        <v>0.69100000000000006</v>
      </c>
      <c r="AW34" s="1">
        <v>0.879</v>
      </c>
      <c r="AX34" s="2">
        <f t="shared" si="23"/>
        <v>0.67300000000000004</v>
      </c>
      <c r="AY34" s="1">
        <v>1.3360000000000001</v>
      </c>
      <c r="AZ34">
        <f t="shared" si="24"/>
        <v>1.127</v>
      </c>
      <c r="BA34" s="1">
        <v>1.333</v>
      </c>
      <c r="BB34">
        <f t="shared" si="25"/>
        <v>1.127</v>
      </c>
      <c r="BC34" s="1">
        <v>1.2869999999999999</v>
      </c>
      <c r="BD34">
        <f t="shared" si="26"/>
        <v>1.073</v>
      </c>
      <c r="BE34" s="1">
        <v>1.514</v>
      </c>
      <c r="BF34">
        <f t="shared" si="27"/>
        <v>1.2969999999999999</v>
      </c>
      <c r="BG34" s="1">
        <v>1.5209999999999999</v>
      </c>
      <c r="BH34">
        <f t="shared" si="28"/>
        <v>1.3159999999999998</v>
      </c>
      <c r="BI34" s="1">
        <v>1.494</v>
      </c>
      <c r="BJ34">
        <f t="shared" si="29"/>
        <v>1.288</v>
      </c>
      <c r="BK34" s="1">
        <v>1.605</v>
      </c>
      <c r="BL34">
        <f t="shared" si="30"/>
        <v>1.3859999999999999</v>
      </c>
      <c r="BM34" s="1">
        <v>1.623</v>
      </c>
      <c r="BN34">
        <f t="shared" si="31"/>
        <v>1.407</v>
      </c>
      <c r="BO34" s="1">
        <v>1.583</v>
      </c>
      <c r="BP34">
        <f t="shared" si="32"/>
        <v>1.3619999999999999</v>
      </c>
      <c r="BQ34">
        <v>1.6259999999999999</v>
      </c>
      <c r="BR34">
        <f t="shared" si="33"/>
        <v>1.4069999999999998</v>
      </c>
      <c r="BS34">
        <v>1.6579999999999999</v>
      </c>
      <c r="BT34">
        <f t="shared" si="34"/>
        <v>1.456</v>
      </c>
      <c r="BU34">
        <v>1.619</v>
      </c>
      <c r="BV34">
        <f t="shared" si="35"/>
        <v>1.395</v>
      </c>
      <c r="BW34" s="1">
        <v>0.127</v>
      </c>
      <c r="BX34" s="2">
        <f t="shared" si="36"/>
        <v>-3.2000000000000001E-2</v>
      </c>
      <c r="BY34" s="1">
        <v>0.10100000000000001</v>
      </c>
      <c r="BZ34" s="2">
        <f t="shared" si="37"/>
        <v>-2.9999999999999888E-3</v>
      </c>
      <c r="CA34" s="1">
        <v>0.13900000000000001</v>
      </c>
      <c r="CB34" s="2">
        <f t="shared" si="38"/>
        <v>-0.35</v>
      </c>
      <c r="CC34" s="1">
        <v>0.875</v>
      </c>
      <c r="CD34" s="2">
        <f t="shared" si="39"/>
        <v>0.66</v>
      </c>
      <c r="CE34" s="1">
        <v>0.83399999999999996</v>
      </c>
      <c r="CF34" s="2">
        <f t="shared" si="40"/>
        <v>0.65199999999999991</v>
      </c>
      <c r="CG34" s="1">
        <v>0.83899999999999997</v>
      </c>
      <c r="CH34" s="2">
        <f t="shared" si="41"/>
        <v>0.64799999999999991</v>
      </c>
      <c r="CI34" s="1">
        <v>1.2829999999999999</v>
      </c>
      <c r="CJ34">
        <f t="shared" si="42"/>
        <v>1.073</v>
      </c>
      <c r="CK34" s="1">
        <v>1.31</v>
      </c>
      <c r="CL34">
        <f t="shared" si="43"/>
        <v>1.115</v>
      </c>
      <c r="CM34" s="1">
        <v>1.234</v>
      </c>
      <c r="CN34">
        <f t="shared" si="44"/>
        <v>1.0269999999999999</v>
      </c>
      <c r="CO34" s="1">
        <v>1.4690000000000001</v>
      </c>
      <c r="CP34">
        <f t="shared" si="45"/>
        <v>1.252</v>
      </c>
      <c r="CQ34" s="1">
        <v>1.496</v>
      </c>
      <c r="CR34">
        <f t="shared" si="46"/>
        <v>1.2969999999999999</v>
      </c>
      <c r="CS34" s="1">
        <v>1.4259999999999999</v>
      </c>
      <c r="CT34">
        <f t="shared" si="47"/>
        <v>1.226</v>
      </c>
      <c r="CU34" s="1">
        <v>1.579</v>
      </c>
      <c r="CV34">
        <f t="shared" si="48"/>
        <v>1.359</v>
      </c>
      <c r="CW34" s="1">
        <v>1.5640000000000001</v>
      </c>
      <c r="CX34">
        <f t="shared" si="49"/>
        <v>1.3580000000000001</v>
      </c>
      <c r="CY34" s="1">
        <v>1.5760000000000001</v>
      </c>
      <c r="CZ34">
        <f t="shared" si="50"/>
        <v>1.3680000000000001</v>
      </c>
      <c r="DA34">
        <v>1.6279999999999999</v>
      </c>
      <c r="DB34">
        <f t="shared" si="51"/>
        <v>1.4119999999999999</v>
      </c>
      <c r="DC34">
        <v>1.617</v>
      </c>
      <c r="DD34">
        <f t="shared" si="52"/>
        <v>1.4139999999999999</v>
      </c>
      <c r="DE34">
        <v>1.6319999999999999</v>
      </c>
      <c r="DF34">
        <f t="shared" si="53"/>
        <v>1.4269999999999998</v>
      </c>
    </row>
    <row r="35" spans="1:110">
      <c r="A35" t="s">
        <v>121</v>
      </c>
      <c r="B35" t="s">
        <v>122</v>
      </c>
      <c r="C35" s="1">
        <v>0.246</v>
      </c>
      <c r="D35" s="1">
        <f t="shared" si="0"/>
        <v>0.122</v>
      </c>
      <c r="E35" s="1">
        <v>0.26200000000000001</v>
      </c>
      <c r="F35">
        <f t="shared" si="1"/>
        <v>0.14400000000000002</v>
      </c>
      <c r="G35" s="1">
        <v>0.26900000000000002</v>
      </c>
      <c r="H35">
        <f t="shared" si="2"/>
        <v>0.13500000000000001</v>
      </c>
      <c r="I35" s="1">
        <v>0.14199999999999999</v>
      </c>
      <c r="J35">
        <f t="shared" si="3"/>
        <v>-0.03</v>
      </c>
      <c r="K35" s="1">
        <v>0.13400000000000001</v>
      </c>
      <c r="L35">
        <f t="shared" si="4"/>
        <v>-4.1999999999999982E-2</v>
      </c>
      <c r="M35" s="1">
        <v>0.13800000000000001</v>
      </c>
      <c r="N35">
        <f t="shared" si="5"/>
        <v>-2.8999999999999998E-2</v>
      </c>
      <c r="O35" s="1">
        <v>0.105</v>
      </c>
      <c r="P35">
        <f t="shared" si="6"/>
        <v>-6.2000000000000013E-2</v>
      </c>
      <c r="Q35" s="1">
        <v>0.107</v>
      </c>
      <c r="R35">
        <f t="shared" si="7"/>
        <v>-6.4000000000000015E-2</v>
      </c>
      <c r="S35" s="1">
        <v>0.108</v>
      </c>
      <c r="T35">
        <f t="shared" si="8"/>
        <v>-8.8000000000000009E-2</v>
      </c>
      <c r="U35" s="1">
        <v>0.108</v>
      </c>
      <c r="V35">
        <f t="shared" si="9"/>
        <v>-8.2000000000000003E-2</v>
      </c>
      <c r="W35" s="1">
        <v>0.112</v>
      </c>
      <c r="X35">
        <f t="shared" si="10"/>
        <v>-7.1999999999999995E-2</v>
      </c>
      <c r="Y35" s="1">
        <v>0.111</v>
      </c>
      <c r="Z35">
        <f t="shared" si="11"/>
        <v>-0.11600000000000001</v>
      </c>
      <c r="AA35" s="1">
        <v>0.113</v>
      </c>
      <c r="AB35">
        <f t="shared" si="12"/>
        <v>-7.9000000000000001E-2</v>
      </c>
      <c r="AC35" s="1">
        <v>0.12</v>
      </c>
      <c r="AD35">
        <f t="shared" si="13"/>
        <v>-5.4999999999999993E-2</v>
      </c>
      <c r="AE35" s="1">
        <v>0.11700000000000001</v>
      </c>
      <c r="AF35">
        <f t="shared" si="14"/>
        <v>-9.8999999999999991E-2</v>
      </c>
      <c r="AG35">
        <v>0.121</v>
      </c>
      <c r="AH35">
        <f t="shared" si="15"/>
        <v>-4.300000000000001E-2</v>
      </c>
      <c r="AI35">
        <v>0.13300000000000001</v>
      </c>
      <c r="AJ35">
        <f t="shared" si="16"/>
        <v>-4.2999999999999983E-2</v>
      </c>
      <c r="AK35">
        <v>0.124</v>
      </c>
      <c r="AL35">
        <f t="shared" si="17"/>
        <v>-7.9000000000000015E-2</v>
      </c>
      <c r="AM35" s="1">
        <v>0.251</v>
      </c>
      <c r="AN35" s="2">
        <f t="shared" si="18"/>
        <v>0.14000000000000001</v>
      </c>
      <c r="AO35" s="1">
        <v>0.23699999999999999</v>
      </c>
      <c r="AP35" s="2">
        <f t="shared" si="19"/>
        <v>0.128</v>
      </c>
      <c r="AQ35" s="1">
        <v>0.26500000000000001</v>
      </c>
      <c r="AR35" s="2">
        <f t="shared" si="20"/>
        <v>0.15300000000000002</v>
      </c>
      <c r="AS35" s="1">
        <v>0.13100000000000001</v>
      </c>
      <c r="AT35" s="2">
        <f t="shared" si="21"/>
        <v>-6.5000000000000002E-2</v>
      </c>
      <c r="AU35" s="1">
        <v>0.128</v>
      </c>
      <c r="AV35" s="2">
        <f t="shared" si="22"/>
        <v>-7.0000000000000007E-2</v>
      </c>
      <c r="AW35" s="1">
        <v>0.187</v>
      </c>
      <c r="AX35" s="2">
        <f t="shared" si="23"/>
        <v>-1.8999999999999989E-2</v>
      </c>
      <c r="AY35" s="1">
        <v>0.11</v>
      </c>
      <c r="AZ35">
        <f t="shared" si="24"/>
        <v>-9.8999999999999991E-2</v>
      </c>
      <c r="BA35" s="1">
        <v>0.11899999999999999</v>
      </c>
      <c r="BB35">
        <f t="shared" si="25"/>
        <v>-8.6999999999999994E-2</v>
      </c>
      <c r="BC35" s="1">
        <v>0.115</v>
      </c>
      <c r="BD35">
        <f t="shared" si="26"/>
        <v>-9.8999999999999991E-2</v>
      </c>
      <c r="BE35" s="1">
        <v>0.114</v>
      </c>
      <c r="BF35">
        <f t="shared" si="27"/>
        <v>-0.10299999999999999</v>
      </c>
      <c r="BG35" s="1">
        <v>0.125</v>
      </c>
      <c r="BH35">
        <f t="shared" si="28"/>
        <v>-7.9999999999999988E-2</v>
      </c>
      <c r="BI35" s="1">
        <v>0.13800000000000001</v>
      </c>
      <c r="BJ35">
        <f t="shared" si="29"/>
        <v>-6.7999999999999977E-2</v>
      </c>
      <c r="BK35" s="1">
        <v>0.314</v>
      </c>
      <c r="BL35">
        <f t="shared" si="30"/>
        <v>9.5000000000000001E-2</v>
      </c>
      <c r="BM35" s="1">
        <v>0.13800000000000001</v>
      </c>
      <c r="BN35">
        <f t="shared" si="31"/>
        <v>-7.7999999999999986E-2</v>
      </c>
      <c r="BO35" s="1">
        <v>0.13100000000000001</v>
      </c>
      <c r="BP35">
        <f t="shared" si="32"/>
        <v>-0.09</v>
      </c>
      <c r="BQ35">
        <v>0.45300000000000001</v>
      </c>
      <c r="BR35">
        <f t="shared" si="33"/>
        <v>0.23400000000000001</v>
      </c>
      <c r="BS35">
        <v>0.18</v>
      </c>
      <c r="BT35">
        <f t="shared" si="34"/>
        <v>-2.200000000000002E-2</v>
      </c>
      <c r="BU35">
        <v>0.17499999999999999</v>
      </c>
      <c r="BV35">
        <f t="shared" si="35"/>
        <v>-4.9000000000000016E-2</v>
      </c>
      <c r="BW35" s="1">
        <v>0.255</v>
      </c>
      <c r="BX35" s="2">
        <f t="shared" si="36"/>
        <v>9.6000000000000002E-2</v>
      </c>
      <c r="BY35" s="1">
        <v>0.22600000000000001</v>
      </c>
      <c r="BZ35" s="2">
        <f t="shared" si="37"/>
        <v>0.12200000000000001</v>
      </c>
      <c r="CA35" s="1">
        <v>0.26600000000000001</v>
      </c>
      <c r="CB35" s="2">
        <f t="shared" si="38"/>
        <v>-0.22299999999999998</v>
      </c>
      <c r="CC35" s="1">
        <v>0.14599999999999999</v>
      </c>
      <c r="CD35" s="2">
        <f t="shared" si="39"/>
        <v>-6.9000000000000006E-2</v>
      </c>
      <c r="CE35" s="1">
        <v>0.127</v>
      </c>
      <c r="CF35" s="2">
        <f t="shared" si="40"/>
        <v>-5.4999999999999993E-2</v>
      </c>
      <c r="CG35" s="1">
        <v>0.20599999999999999</v>
      </c>
      <c r="CH35" s="2">
        <f t="shared" si="41"/>
        <v>1.4999999999999986E-2</v>
      </c>
      <c r="CI35" s="1">
        <v>0.115</v>
      </c>
      <c r="CJ35">
        <f t="shared" si="42"/>
        <v>-9.4999999999999987E-2</v>
      </c>
      <c r="CK35" s="1">
        <v>0.108</v>
      </c>
      <c r="CL35">
        <f t="shared" si="43"/>
        <v>-8.7000000000000008E-2</v>
      </c>
      <c r="CM35" s="1">
        <v>0.115</v>
      </c>
      <c r="CN35">
        <f t="shared" si="44"/>
        <v>-9.1999999999999985E-2</v>
      </c>
      <c r="CO35" s="1">
        <v>0.11799999999999999</v>
      </c>
      <c r="CP35">
        <f t="shared" si="45"/>
        <v>-9.9000000000000005E-2</v>
      </c>
      <c r="CQ35" s="1">
        <v>0.112</v>
      </c>
      <c r="CR35">
        <f t="shared" si="46"/>
        <v>-8.7000000000000008E-2</v>
      </c>
      <c r="CS35" s="1">
        <v>0.115</v>
      </c>
      <c r="CT35">
        <f t="shared" si="47"/>
        <v>-8.5000000000000006E-2</v>
      </c>
      <c r="CU35" s="1">
        <v>0.124</v>
      </c>
      <c r="CV35">
        <f t="shared" si="48"/>
        <v>-9.6000000000000002E-2</v>
      </c>
      <c r="CW35" s="1">
        <v>0.11799999999999999</v>
      </c>
      <c r="CX35">
        <f t="shared" si="49"/>
        <v>-8.7999999999999995E-2</v>
      </c>
      <c r="CY35" s="1">
        <v>0.11799999999999999</v>
      </c>
      <c r="CZ35">
        <f t="shared" si="50"/>
        <v>-0.09</v>
      </c>
      <c r="DA35">
        <v>0.13800000000000001</v>
      </c>
      <c r="DB35">
        <f t="shared" si="51"/>
        <v>-7.7999999999999986E-2</v>
      </c>
      <c r="DC35">
        <v>0.13</v>
      </c>
      <c r="DD35">
        <f t="shared" si="52"/>
        <v>-7.3000000000000009E-2</v>
      </c>
      <c r="DE35">
        <v>0.127</v>
      </c>
      <c r="DF35">
        <f t="shared" si="53"/>
        <v>-7.7999999999999986E-2</v>
      </c>
    </row>
    <row r="36" spans="1:110">
      <c r="A36" t="s">
        <v>123</v>
      </c>
      <c r="B36" t="s">
        <v>124</v>
      </c>
      <c r="C36" s="1">
        <v>9.7000000000000003E-2</v>
      </c>
      <c r="D36" s="1">
        <f t="shared" si="0"/>
        <v>-2.6999999999999996E-2</v>
      </c>
      <c r="E36" s="1">
        <v>0.104</v>
      </c>
      <c r="F36">
        <f t="shared" si="1"/>
        <v>-1.3999999999999999E-2</v>
      </c>
      <c r="G36" s="1">
        <v>9.8000000000000004E-2</v>
      </c>
      <c r="H36">
        <f t="shared" si="2"/>
        <v>-3.6000000000000004E-2</v>
      </c>
      <c r="I36" s="1">
        <v>0.82399999999999995</v>
      </c>
      <c r="J36">
        <f t="shared" si="3"/>
        <v>0.65199999999999991</v>
      </c>
      <c r="K36" s="1">
        <v>1.081</v>
      </c>
      <c r="L36">
        <f t="shared" si="4"/>
        <v>0.90500000000000003</v>
      </c>
      <c r="M36" s="1">
        <v>1.0009999999999999</v>
      </c>
      <c r="N36">
        <f t="shared" si="5"/>
        <v>0.83399999999999985</v>
      </c>
      <c r="O36" s="1">
        <v>1.331</v>
      </c>
      <c r="P36">
        <f t="shared" si="6"/>
        <v>1.1639999999999999</v>
      </c>
      <c r="Q36" s="1">
        <v>1.5109999999999999</v>
      </c>
      <c r="R36">
        <f t="shared" si="7"/>
        <v>1.3399999999999999</v>
      </c>
      <c r="S36" s="1">
        <v>1.3779999999999999</v>
      </c>
      <c r="T36">
        <f t="shared" si="8"/>
        <v>1.1819999999999999</v>
      </c>
      <c r="U36" s="1">
        <v>1.6140000000000001</v>
      </c>
      <c r="V36">
        <f t="shared" si="9"/>
        <v>1.4240000000000002</v>
      </c>
      <c r="W36" s="1">
        <v>1.6659999999999999</v>
      </c>
      <c r="X36">
        <f t="shared" si="10"/>
        <v>1.482</v>
      </c>
      <c r="Y36" s="1">
        <v>1.617</v>
      </c>
      <c r="Z36">
        <f t="shared" si="11"/>
        <v>1.39</v>
      </c>
      <c r="AA36" s="1">
        <v>1.5669999999999999</v>
      </c>
      <c r="AB36">
        <f t="shared" si="12"/>
        <v>1.375</v>
      </c>
      <c r="AC36" s="1">
        <v>1.645</v>
      </c>
      <c r="AD36">
        <f t="shared" si="13"/>
        <v>1.47</v>
      </c>
      <c r="AE36" s="1">
        <v>1.629</v>
      </c>
      <c r="AF36">
        <f t="shared" si="14"/>
        <v>1.413</v>
      </c>
      <c r="AG36">
        <v>1.508</v>
      </c>
      <c r="AH36">
        <f t="shared" si="15"/>
        <v>1.3440000000000001</v>
      </c>
      <c r="AI36">
        <v>1.579</v>
      </c>
      <c r="AJ36">
        <f t="shared" si="16"/>
        <v>1.403</v>
      </c>
      <c r="AK36">
        <v>1.5720000000000001</v>
      </c>
      <c r="AL36">
        <f t="shared" si="17"/>
        <v>1.369</v>
      </c>
      <c r="AM36" s="1">
        <v>0.10100000000000001</v>
      </c>
      <c r="AN36" s="2">
        <f t="shared" si="18"/>
        <v>-9.999999999999995E-3</v>
      </c>
      <c r="AO36" s="1">
        <v>0.105</v>
      </c>
      <c r="AP36" s="2">
        <f t="shared" si="19"/>
        <v>-4.0000000000000036E-3</v>
      </c>
      <c r="AQ36" s="1">
        <v>0.105</v>
      </c>
      <c r="AR36" s="2">
        <f t="shared" si="20"/>
        <v>-7.0000000000000062E-3</v>
      </c>
      <c r="AS36" s="1">
        <v>0.91800000000000004</v>
      </c>
      <c r="AT36" s="2">
        <f t="shared" si="21"/>
        <v>0.72199999999999998</v>
      </c>
      <c r="AU36" s="1">
        <v>0.92700000000000005</v>
      </c>
      <c r="AV36" s="2">
        <f t="shared" si="22"/>
        <v>0.72900000000000009</v>
      </c>
      <c r="AW36" s="1">
        <v>0.91200000000000003</v>
      </c>
      <c r="AX36" s="2">
        <f t="shared" si="23"/>
        <v>0.70600000000000007</v>
      </c>
      <c r="AY36" s="1">
        <v>1.175</v>
      </c>
      <c r="AZ36">
        <f t="shared" si="24"/>
        <v>0.96600000000000008</v>
      </c>
      <c r="BA36" s="1">
        <v>1.2</v>
      </c>
      <c r="BB36">
        <f t="shared" si="25"/>
        <v>0.99399999999999999</v>
      </c>
      <c r="BC36" s="1">
        <v>1.173</v>
      </c>
      <c r="BD36">
        <f t="shared" si="26"/>
        <v>0.95900000000000007</v>
      </c>
      <c r="BE36" s="1">
        <v>1.3460000000000001</v>
      </c>
      <c r="BF36">
        <f t="shared" si="27"/>
        <v>1.129</v>
      </c>
      <c r="BG36" s="1">
        <v>1.361</v>
      </c>
      <c r="BH36">
        <f t="shared" si="28"/>
        <v>1.1559999999999999</v>
      </c>
      <c r="BI36" s="1">
        <v>1.331</v>
      </c>
      <c r="BJ36">
        <f t="shared" si="29"/>
        <v>1.125</v>
      </c>
      <c r="BK36" s="1">
        <v>1.514</v>
      </c>
      <c r="BL36">
        <f t="shared" si="30"/>
        <v>1.2949999999999999</v>
      </c>
      <c r="BM36" s="1">
        <v>1.5029999999999999</v>
      </c>
      <c r="BN36">
        <f t="shared" si="31"/>
        <v>1.2869999999999999</v>
      </c>
      <c r="BO36" s="1">
        <v>1.488</v>
      </c>
      <c r="BP36">
        <f t="shared" si="32"/>
        <v>1.2669999999999999</v>
      </c>
      <c r="BQ36">
        <v>1.6559999999999999</v>
      </c>
      <c r="BR36">
        <f t="shared" si="33"/>
        <v>1.4369999999999998</v>
      </c>
      <c r="BS36">
        <v>1.667</v>
      </c>
      <c r="BT36">
        <f t="shared" si="34"/>
        <v>1.4650000000000001</v>
      </c>
      <c r="BU36">
        <v>1.629</v>
      </c>
      <c r="BV36">
        <f t="shared" si="35"/>
        <v>1.405</v>
      </c>
      <c r="BW36" s="1">
        <v>0.10100000000000001</v>
      </c>
      <c r="BX36" s="2">
        <f t="shared" si="36"/>
        <v>-5.7999999999999996E-2</v>
      </c>
      <c r="BY36" s="1">
        <v>0.10100000000000001</v>
      </c>
      <c r="BZ36" s="2">
        <f t="shared" si="37"/>
        <v>-2.9999999999999888E-3</v>
      </c>
      <c r="CA36" s="1">
        <v>9.9000000000000005E-2</v>
      </c>
      <c r="CB36" s="2">
        <f t="shared" si="38"/>
        <v>-0.39</v>
      </c>
      <c r="CC36" s="1">
        <v>0.80200000000000005</v>
      </c>
      <c r="CD36" s="2">
        <f t="shared" si="39"/>
        <v>0.58700000000000008</v>
      </c>
      <c r="CE36" s="1">
        <v>0.91800000000000004</v>
      </c>
      <c r="CF36" s="2">
        <f t="shared" si="40"/>
        <v>0.73599999999999999</v>
      </c>
      <c r="CG36" s="1">
        <v>0.65500000000000003</v>
      </c>
      <c r="CH36" s="2">
        <f t="shared" si="41"/>
        <v>0.46400000000000002</v>
      </c>
      <c r="CI36" s="1">
        <v>1.0369999999999999</v>
      </c>
      <c r="CJ36">
        <f t="shared" si="42"/>
        <v>0.82699999999999996</v>
      </c>
      <c r="CK36" s="1">
        <v>1.0920000000000001</v>
      </c>
      <c r="CL36">
        <f t="shared" si="43"/>
        <v>0.89700000000000002</v>
      </c>
      <c r="CM36" s="1">
        <v>1.056</v>
      </c>
      <c r="CN36">
        <f t="shared" si="44"/>
        <v>0.84900000000000009</v>
      </c>
      <c r="CO36" s="1">
        <v>1.206</v>
      </c>
      <c r="CP36">
        <f t="shared" si="45"/>
        <v>0.98899999999999999</v>
      </c>
      <c r="CQ36" s="1">
        <v>1.294</v>
      </c>
      <c r="CR36">
        <f t="shared" si="46"/>
        <v>1.095</v>
      </c>
      <c r="CS36" s="1">
        <v>1.228</v>
      </c>
      <c r="CT36">
        <f t="shared" si="47"/>
        <v>1.028</v>
      </c>
      <c r="CU36" s="1">
        <v>1.391</v>
      </c>
      <c r="CV36">
        <f t="shared" si="48"/>
        <v>1.171</v>
      </c>
      <c r="CW36" s="1">
        <v>1.48</v>
      </c>
      <c r="CX36">
        <f t="shared" si="49"/>
        <v>1.274</v>
      </c>
      <c r="CY36" s="1">
        <v>1.43</v>
      </c>
      <c r="CZ36">
        <f t="shared" si="50"/>
        <v>1.222</v>
      </c>
      <c r="DA36">
        <v>1.5669999999999999</v>
      </c>
      <c r="DB36">
        <f t="shared" si="51"/>
        <v>1.351</v>
      </c>
      <c r="DC36">
        <v>1.6180000000000001</v>
      </c>
      <c r="DD36">
        <f t="shared" si="52"/>
        <v>1.415</v>
      </c>
      <c r="DE36">
        <v>1.5720000000000001</v>
      </c>
      <c r="DF36">
        <f t="shared" si="53"/>
        <v>1.367</v>
      </c>
    </row>
    <row r="37" spans="1:110">
      <c r="A37" t="s">
        <v>125</v>
      </c>
      <c r="B37" t="s">
        <v>126</v>
      </c>
      <c r="C37" s="1">
        <v>0.104</v>
      </c>
      <c r="D37" s="1">
        <f t="shared" si="0"/>
        <v>-2.0000000000000004E-2</v>
      </c>
      <c r="E37" s="1">
        <v>0.126</v>
      </c>
      <c r="F37">
        <f t="shared" si="1"/>
        <v>8.0000000000000071E-3</v>
      </c>
      <c r="G37" s="1">
        <v>0.12</v>
      </c>
      <c r="H37">
        <f t="shared" si="2"/>
        <v>-1.4000000000000012E-2</v>
      </c>
      <c r="I37" s="1">
        <v>0.183</v>
      </c>
      <c r="J37">
        <f t="shared" si="3"/>
        <v>1.100000000000001E-2</v>
      </c>
      <c r="K37" s="1">
        <v>0.25</v>
      </c>
      <c r="L37">
        <f t="shared" si="4"/>
        <v>7.400000000000001E-2</v>
      </c>
      <c r="M37" s="1">
        <v>0.20799999999999999</v>
      </c>
      <c r="N37">
        <f t="shared" si="5"/>
        <v>4.0999999999999981E-2</v>
      </c>
      <c r="O37" s="1">
        <v>0.155</v>
      </c>
      <c r="P37">
        <f t="shared" si="6"/>
        <v>-1.2000000000000011E-2</v>
      </c>
      <c r="Q37" s="1">
        <v>0.221</v>
      </c>
      <c r="R37">
        <f t="shared" si="7"/>
        <v>4.9999999999999989E-2</v>
      </c>
      <c r="S37" s="1">
        <v>0.17799999999999999</v>
      </c>
      <c r="T37">
        <f t="shared" si="8"/>
        <v>-1.8000000000000016E-2</v>
      </c>
      <c r="U37" s="1">
        <v>0.20200000000000001</v>
      </c>
      <c r="V37">
        <f t="shared" si="9"/>
        <v>1.2000000000000011E-2</v>
      </c>
      <c r="W37" s="1">
        <v>0.22600000000000001</v>
      </c>
      <c r="X37">
        <f t="shared" si="10"/>
        <v>4.200000000000001E-2</v>
      </c>
      <c r="Y37" s="1">
        <v>0.19500000000000001</v>
      </c>
      <c r="Z37">
        <f t="shared" si="11"/>
        <v>-3.2000000000000001E-2</v>
      </c>
      <c r="AA37" s="1">
        <v>0.17899999999999999</v>
      </c>
      <c r="AB37">
        <f t="shared" si="12"/>
        <v>-1.3000000000000012E-2</v>
      </c>
      <c r="AC37" s="1">
        <v>0.23400000000000001</v>
      </c>
      <c r="AD37">
        <f t="shared" si="13"/>
        <v>5.9000000000000025E-2</v>
      </c>
      <c r="AE37" s="1">
        <v>0.20699999999999999</v>
      </c>
      <c r="AF37">
        <f t="shared" si="14"/>
        <v>-9.000000000000008E-3</v>
      </c>
      <c r="AG37">
        <v>0.183</v>
      </c>
      <c r="AH37">
        <f t="shared" si="15"/>
        <v>1.8999999999999989E-2</v>
      </c>
      <c r="AI37">
        <v>0.219</v>
      </c>
      <c r="AJ37">
        <f t="shared" si="16"/>
        <v>4.300000000000001E-2</v>
      </c>
      <c r="AK37">
        <v>0.214</v>
      </c>
      <c r="AL37">
        <f t="shared" si="17"/>
        <v>1.0999999999999982E-2</v>
      </c>
      <c r="AM37" s="1">
        <v>0.13900000000000001</v>
      </c>
      <c r="AN37" s="2">
        <f t="shared" si="18"/>
        <v>2.8000000000000011E-2</v>
      </c>
      <c r="AO37" s="1">
        <v>0.13800000000000001</v>
      </c>
      <c r="AP37" s="2">
        <f t="shared" si="19"/>
        <v>2.9000000000000012E-2</v>
      </c>
      <c r="AQ37" s="1">
        <v>0.15</v>
      </c>
      <c r="AR37" s="2">
        <f t="shared" si="20"/>
        <v>3.7999999999999992E-2</v>
      </c>
      <c r="AS37" s="1">
        <v>0.26</v>
      </c>
      <c r="AT37" s="2">
        <f t="shared" si="21"/>
        <v>6.4000000000000001E-2</v>
      </c>
      <c r="AU37" s="1">
        <v>0.21099999999999999</v>
      </c>
      <c r="AV37" s="2">
        <f t="shared" si="22"/>
        <v>1.2999999999999984E-2</v>
      </c>
      <c r="AW37" s="1">
        <v>0.22500000000000001</v>
      </c>
      <c r="AX37" s="2">
        <f t="shared" si="23"/>
        <v>1.9000000000000017E-2</v>
      </c>
      <c r="AY37" s="1">
        <v>0.29499999999999998</v>
      </c>
      <c r="AZ37">
        <f t="shared" si="24"/>
        <v>8.5999999999999993E-2</v>
      </c>
      <c r="BA37" s="1">
        <v>0.221</v>
      </c>
      <c r="BB37">
        <f t="shared" si="25"/>
        <v>1.5000000000000013E-2</v>
      </c>
      <c r="BC37" s="1">
        <v>0.23300000000000001</v>
      </c>
      <c r="BD37">
        <f t="shared" si="26"/>
        <v>1.9000000000000017E-2</v>
      </c>
      <c r="BE37" s="1">
        <v>0.29399999999999998</v>
      </c>
      <c r="BF37">
        <f t="shared" si="27"/>
        <v>7.6999999999999985E-2</v>
      </c>
      <c r="BG37" s="1">
        <v>0.224</v>
      </c>
      <c r="BH37">
        <f t="shared" si="28"/>
        <v>1.9000000000000017E-2</v>
      </c>
      <c r="BI37" s="1">
        <v>0.23100000000000001</v>
      </c>
      <c r="BJ37">
        <f t="shared" si="29"/>
        <v>2.5000000000000022E-2</v>
      </c>
      <c r="BK37" s="1">
        <v>0.29299999999999998</v>
      </c>
      <c r="BL37">
        <f t="shared" si="30"/>
        <v>7.3999999999999982E-2</v>
      </c>
      <c r="BM37" s="1">
        <v>0.22800000000000001</v>
      </c>
      <c r="BN37">
        <f t="shared" si="31"/>
        <v>1.2000000000000011E-2</v>
      </c>
      <c r="BO37" s="1">
        <v>0.23699999999999999</v>
      </c>
      <c r="BP37">
        <f t="shared" si="32"/>
        <v>1.5999999999999986E-2</v>
      </c>
      <c r="BQ37">
        <v>0.29099999999999998</v>
      </c>
      <c r="BR37">
        <f t="shared" si="33"/>
        <v>7.1999999999999981E-2</v>
      </c>
      <c r="BS37">
        <v>0.22900000000000001</v>
      </c>
      <c r="BT37">
        <f t="shared" si="34"/>
        <v>2.6999999999999996E-2</v>
      </c>
      <c r="BU37">
        <v>0.249</v>
      </c>
      <c r="BV37">
        <f t="shared" si="35"/>
        <v>2.4999999999999994E-2</v>
      </c>
      <c r="BW37" s="1">
        <v>0.115</v>
      </c>
      <c r="BX37" s="2">
        <f t="shared" si="36"/>
        <v>-4.3999999999999997E-2</v>
      </c>
      <c r="BY37" s="1">
        <v>0.106</v>
      </c>
      <c r="BZ37" s="2">
        <f t="shared" si="37"/>
        <v>2.0000000000000018E-3</v>
      </c>
      <c r="CA37" s="1">
        <v>0.115</v>
      </c>
      <c r="CB37" s="2">
        <f t="shared" si="38"/>
        <v>-0.374</v>
      </c>
      <c r="CC37" s="1">
        <v>0.21299999999999999</v>
      </c>
      <c r="CD37" s="2">
        <f t="shared" si="39"/>
        <v>-2.0000000000000018E-3</v>
      </c>
      <c r="CE37" s="1">
        <v>0.19900000000000001</v>
      </c>
      <c r="CF37" s="2">
        <f t="shared" si="40"/>
        <v>1.7000000000000015E-2</v>
      </c>
      <c r="CG37" s="1">
        <v>0.24</v>
      </c>
      <c r="CH37" s="2">
        <f t="shared" si="41"/>
        <v>4.8999999999999988E-2</v>
      </c>
      <c r="CI37" s="1">
        <v>0.217</v>
      </c>
      <c r="CJ37">
        <f t="shared" si="42"/>
        <v>7.0000000000000062E-3</v>
      </c>
      <c r="CK37" s="1">
        <v>0.20300000000000001</v>
      </c>
      <c r="CL37">
        <f t="shared" si="43"/>
        <v>8.0000000000000071E-3</v>
      </c>
      <c r="CM37" s="1">
        <v>0.23</v>
      </c>
      <c r="CN37">
        <f t="shared" si="44"/>
        <v>2.300000000000002E-2</v>
      </c>
      <c r="CO37" s="1">
        <v>0.22500000000000001</v>
      </c>
      <c r="CP37">
        <f t="shared" si="45"/>
        <v>8.0000000000000071E-3</v>
      </c>
      <c r="CQ37" s="1">
        <v>0.214</v>
      </c>
      <c r="CR37">
        <f t="shared" si="46"/>
        <v>1.4999999999999986E-2</v>
      </c>
      <c r="CS37" s="1">
        <v>0.23699999999999999</v>
      </c>
      <c r="CT37">
        <f t="shared" si="47"/>
        <v>3.6999999999999977E-2</v>
      </c>
      <c r="CU37" s="1">
        <v>0.224</v>
      </c>
      <c r="CV37">
        <f t="shared" si="48"/>
        <v>4.0000000000000036E-3</v>
      </c>
      <c r="CW37" s="1">
        <v>0.214</v>
      </c>
      <c r="CX37">
        <f t="shared" si="49"/>
        <v>8.0000000000000071E-3</v>
      </c>
      <c r="CY37" s="1">
        <v>0.23899999999999999</v>
      </c>
      <c r="CZ37">
        <f t="shared" si="50"/>
        <v>3.1E-2</v>
      </c>
      <c r="DA37">
        <v>0.22900000000000001</v>
      </c>
      <c r="DB37">
        <f t="shared" si="51"/>
        <v>1.3000000000000012E-2</v>
      </c>
      <c r="DC37">
        <v>0.21299999999999999</v>
      </c>
      <c r="DD37">
        <f t="shared" si="52"/>
        <v>9.9999999999999811E-3</v>
      </c>
      <c r="DE37">
        <v>0.24299999999999999</v>
      </c>
      <c r="DF37">
        <f t="shared" si="53"/>
        <v>3.8000000000000006E-2</v>
      </c>
    </row>
    <row r="38" spans="1:110">
      <c r="A38" t="s">
        <v>127</v>
      </c>
      <c r="B38" t="s">
        <v>128</v>
      </c>
      <c r="C38" s="1">
        <v>0.114</v>
      </c>
      <c r="D38" s="1">
        <f t="shared" si="0"/>
        <v>-9.999999999999995E-3</v>
      </c>
      <c r="E38" s="1">
        <v>0.115</v>
      </c>
      <c r="F38">
        <f t="shared" si="1"/>
        <v>-2.9999999999999888E-3</v>
      </c>
      <c r="G38" s="1">
        <v>0.15</v>
      </c>
      <c r="H38">
        <f t="shared" si="2"/>
        <v>1.5999999999999986E-2</v>
      </c>
      <c r="I38" s="1">
        <v>0.66700000000000004</v>
      </c>
      <c r="J38">
        <f t="shared" si="3"/>
        <v>0.49500000000000005</v>
      </c>
      <c r="K38" s="1">
        <v>0.79900000000000004</v>
      </c>
      <c r="L38">
        <f t="shared" si="4"/>
        <v>0.623</v>
      </c>
      <c r="M38" s="1">
        <v>0.67100000000000004</v>
      </c>
      <c r="N38">
        <f t="shared" si="5"/>
        <v>0.504</v>
      </c>
      <c r="O38" s="1">
        <v>0.83199999999999996</v>
      </c>
      <c r="P38">
        <f t="shared" si="6"/>
        <v>0.66499999999999992</v>
      </c>
      <c r="Q38" s="1">
        <v>1.2310000000000001</v>
      </c>
      <c r="R38">
        <f t="shared" si="7"/>
        <v>1.06</v>
      </c>
      <c r="S38" s="1">
        <v>1.218</v>
      </c>
      <c r="T38">
        <f t="shared" si="8"/>
        <v>1.022</v>
      </c>
      <c r="U38" s="1">
        <v>0.79300000000000004</v>
      </c>
      <c r="V38">
        <f t="shared" si="9"/>
        <v>0.60299999999999998</v>
      </c>
      <c r="W38" s="1">
        <v>1.173</v>
      </c>
      <c r="X38">
        <f t="shared" si="10"/>
        <v>0.9890000000000001</v>
      </c>
      <c r="Y38" s="1">
        <v>0.82399999999999995</v>
      </c>
      <c r="Z38">
        <f t="shared" si="11"/>
        <v>0.59699999999999998</v>
      </c>
      <c r="AA38" s="1">
        <v>0.72399999999999998</v>
      </c>
      <c r="AB38">
        <f t="shared" si="12"/>
        <v>0.53200000000000003</v>
      </c>
      <c r="AC38" s="1">
        <v>1.1519999999999999</v>
      </c>
      <c r="AD38">
        <f t="shared" si="13"/>
        <v>0.97699999999999987</v>
      </c>
      <c r="AE38" s="1">
        <v>0.84199999999999997</v>
      </c>
      <c r="AF38">
        <f t="shared" si="14"/>
        <v>0.626</v>
      </c>
      <c r="AG38">
        <v>0.79800000000000004</v>
      </c>
      <c r="AH38">
        <f t="shared" si="15"/>
        <v>0.63400000000000001</v>
      </c>
      <c r="AI38">
        <v>1.1259999999999999</v>
      </c>
      <c r="AJ38">
        <f t="shared" si="16"/>
        <v>0.95</v>
      </c>
      <c r="AK38">
        <v>0.92800000000000005</v>
      </c>
      <c r="AL38">
        <f t="shared" si="17"/>
        <v>0.72500000000000009</v>
      </c>
      <c r="AM38" s="1">
        <v>0.1</v>
      </c>
      <c r="AN38" s="2">
        <f t="shared" si="18"/>
        <v>-1.0999999999999996E-2</v>
      </c>
      <c r="AO38" s="1">
        <v>0.10100000000000001</v>
      </c>
      <c r="AP38" s="2">
        <f t="shared" si="19"/>
        <v>-7.9999999999999932E-3</v>
      </c>
      <c r="AQ38" s="1">
        <v>0.20799999999999999</v>
      </c>
      <c r="AR38" s="2">
        <f t="shared" si="20"/>
        <v>9.5999999999999988E-2</v>
      </c>
      <c r="AS38" s="1">
        <v>0.70399999999999996</v>
      </c>
      <c r="AT38" s="2">
        <f t="shared" si="21"/>
        <v>0.50800000000000001</v>
      </c>
      <c r="AU38" s="1">
        <v>0.751</v>
      </c>
      <c r="AV38" s="2">
        <f t="shared" si="22"/>
        <v>0.55299999999999994</v>
      </c>
      <c r="AW38" s="1">
        <v>0.76200000000000001</v>
      </c>
      <c r="AX38" s="2">
        <f t="shared" si="23"/>
        <v>0.55600000000000005</v>
      </c>
      <c r="AY38" s="1">
        <v>0.93400000000000005</v>
      </c>
      <c r="AZ38">
        <f t="shared" si="24"/>
        <v>0.72500000000000009</v>
      </c>
      <c r="BA38" s="1">
        <v>0.98399999999999999</v>
      </c>
      <c r="BB38">
        <f t="shared" si="25"/>
        <v>0.77800000000000002</v>
      </c>
      <c r="BC38" s="1">
        <v>0.89800000000000002</v>
      </c>
      <c r="BD38">
        <f t="shared" si="26"/>
        <v>0.68400000000000005</v>
      </c>
      <c r="BE38" s="1">
        <v>1.0640000000000001</v>
      </c>
      <c r="BF38">
        <f t="shared" si="27"/>
        <v>0.84700000000000009</v>
      </c>
      <c r="BG38" s="1">
        <v>1.113</v>
      </c>
      <c r="BH38">
        <f t="shared" si="28"/>
        <v>0.90800000000000003</v>
      </c>
      <c r="BI38" s="1">
        <v>1.0880000000000001</v>
      </c>
      <c r="BJ38">
        <f t="shared" si="29"/>
        <v>0.88200000000000012</v>
      </c>
      <c r="BK38" s="1">
        <v>1.125</v>
      </c>
      <c r="BL38">
        <f t="shared" si="30"/>
        <v>0.90600000000000003</v>
      </c>
      <c r="BM38" s="1">
        <v>1.2290000000000001</v>
      </c>
      <c r="BN38">
        <f t="shared" si="31"/>
        <v>1.0130000000000001</v>
      </c>
      <c r="BO38" s="1">
        <v>1.1100000000000001</v>
      </c>
      <c r="BP38">
        <f t="shared" si="32"/>
        <v>0.88900000000000012</v>
      </c>
      <c r="BQ38">
        <v>1.1870000000000001</v>
      </c>
      <c r="BR38">
        <f t="shared" si="33"/>
        <v>0.96800000000000008</v>
      </c>
      <c r="BS38">
        <v>1.1240000000000001</v>
      </c>
      <c r="BT38">
        <f t="shared" si="34"/>
        <v>0.92200000000000015</v>
      </c>
      <c r="BU38">
        <v>1.1419999999999999</v>
      </c>
      <c r="BV38">
        <f t="shared" si="35"/>
        <v>0.91799999999999993</v>
      </c>
      <c r="BW38" s="1">
        <v>0.111</v>
      </c>
      <c r="BX38" s="2">
        <f t="shared" si="36"/>
        <v>-4.8000000000000001E-2</v>
      </c>
      <c r="BY38" s="1">
        <v>0.10100000000000001</v>
      </c>
      <c r="BZ38" s="2">
        <f t="shared" si="37"/>
        <v>-2.9999999999999888E-3</v>
      </c>
      <c r="CA38" s="1">
        <v>0.19900000000000001</v>
      </c>
      <c r="CB38" s="2">
        <f t="shared" si="38"/>
        <v>-0.28999999999999998</v>
      </c>
      <c r="CC38" s="1">
        <v>0.71499999999999997</v>
      </c>
      <c r="CD38" s="2">
        <f t="shared" si="39"/>
        <v>0.5</v>
      </c>
      <c r="CE38" s="1">
        <v>0.65400000000000003</v>
      </c>
      <c r="CF38" s="2">
        <f t="shared" si="40"/>
        <v>0.47200000000000003</v>
      </c>
      <c r="CG38" s="1">
        <v>0.71599999999999997</v>
      </c>
      <c r="CH38" s="2">
        <f t="shared" si="41"/>
        <v>0.52499999999999991</v>
      </c>
      <c r="CI38" s="1">
        <v>0.92800000000000005</v>
      </c>
      <c r="CJ38">
        <f t="shared" si="42"/>
        <v>0.71800000000000008</v>
      </c>
      <c r="CK38" s="1">
        <v>0.91</v>
      </c>
      <c r="CL38">
        <f t="shared" si="43"/>
        <v>0.71500000000000008</v>
      </c>
      <c r="CM38" s="1">
        <v>0.94199999999999995</v>
      </c>
      <c r="CN38">
        <f t="shared" si="44"/>
        <v>0.73499999999999999</v>
      </c>
      <c r="CO38" s="1">
        <v>1.0640000000000001</v>
      </c>
      <c r="CP38">
        <f t="shared" si="45"/>
        <v>0.84700000000000009</v>
      </c>
      <c r="CQ38" s="1">
        <v>1.0129999999999999</v>
      </c>
      <c r="CR38">
        <f t="shared" si="46"/>
        <v>0.81399999999999983</v>
      </c>
      <c r="CS38" s="1">
        <v>1.0680000000000001</v>
      </c>
      <c r="CT38">
        <f t="shared" si="47"/>
        <v>0.8680000000000001</v>
      </c>
      <c r="CU38" s="1">
        <v>1.071</v>
      </c>
      <c r="CV38">
        <f t="shared" si="48"/>
        <v>0.85099999999999998</v>
      </c>
      <c r="CW38" s="1">
        <v>1.07</v>
      </c>
      <c r="CX38">
        <f t="shared" si="49"/>
        <v>0.8640000000000001</v>
      </c>
      <c r="CY38" s="1">
        <v>1.079</v>
      </c>
      <c r="CZ38">
        <f t="shared" si="50"/>
        <v>0.871</v>
      </c>
      <c r="DA38">
        <v>0.93600000000000005</v>
      </c>
      <c r="DB38">
        <f t="shared" si="51"/>
        <v>0.72000000000000008</v>
      </c>
      <c r="DC38">
        <v>1.0920000000000001</v>
      </c>
      <c r="DD38">
        <f t="shared" si="52"/>
        <v>0.88900000000000001</v>
      </c>
      <c r="DE38">
        <v>1.093</v>
      </c>
      <c r="DF38">
        <f t="shared" si="53"/>
        <v>0.88800000000000001</v>
      </c>
    </row>
    <row r="39" spans="1:110">
      <c r="A39" t="s">
        <v>129</v>
      </c>
      <c r="B39" t="s">
        <v>130</v>
      </c>
      <c r="C39" s="1">
        <v>0.126</v>
      </c>
      <c r="D39" s="1">
        <f t="shared" si="0"/>
        <v>2.0000000000000018E-3</v>
      </c>
      <c r="E39" s="1">
        <v>0.128</v>
      </c>
      <c r="F39">
        <f t="shared" si="1"/>
        <v>1.0000000000000009E-2</v>
      </c>
      <c r="G39" s="1">
        <v>0.13</v>
      </c>
      <c r="H39">
        <f t="shared" si="2"/>
        <v>-4.0000000000000036E-3</v>
      </c>
      <c r="I39" s="1">
        <v>0.15</v>
      </c>
      <c r="J39">
        <f t="shared" si="3"/>
        <v>-2.1999999999999992E-2</v>
      </c>
      <c r="K39" s="1">
        <v>0.2</v>
      </c>
      <c r="L39">
        <f t="shared" si="4"/>
        <v>2.4000000000000021E-2</v>
      </c>
      <c r="M39" s="1">
        <v>0.17</v>
      </c>
      <c r="N39">
        <f t="shared" si="5"/>
        <v>3.0000000000000027E-3</v>
      </c>
      <c r="O39" s="1">
        <v>0.152</v>
      </c>
      <c r="P39">
        <f t="shared" si="6"/>
        <v>-1.5000000000000013E-2</v>
      </c>
      <c r="Q39" s="1">
        <v>0.19400000000000001</v>
      </c>
      <c r="R39">
        <f t="shared" si="7"/>
        <v>2.2999999999999993E-2</v>
      </c>
      <c r="S39" s="1">
        <v>0.14499999999999999</v>
      </c>
      <c r="T39">
        <f t="shared" si="8"/>
        <v>-5.1000000000000018E-2</v>
      </c>
      <c r="U39" s="1">
        <v>0.14099999999999999</v>
      </c>
      <c r="V39">
        <f t="shared" si="9"/>
        <v>-4.9000000000000016E-2</v>
      </c>
      <c r="W39" s="1">
        <v>0.192</v>
      </c>
      <c r="X39">
        <f t="shared" si="10"/>
        <v>8.0000000000000071E-3</v>
      </c>
      <c r="Y39" s="1">
        <v>0.153</v>
      </c>
      <c r="Z39">
        <f t="shared" si="11"/>
        <v>-7.400000000000001E-2</v>
      </c>
      <c r="AA39" s="1">
        <v>0.191</v>
      </c>
      <c r="AB39">
        <f t="shared" si="12"/>
        <v>-1.0000000000000009E-3</v>
      </c>
      <c r="AC39" s="1">
        <v>0.193</v>
      </c>
      <c r="AD39">
        <f t="shared" si="13"/>
        <v>1.8000000000000016E-2</v>
      </c>
      <c r="AE39" s="1">
        <v>0.14199999999999999</v>
      </c>
      <c r="AF39">
        <f t="shared" si="14"/>
        <v>-7.400000000000001E-2</v>
      </c>
      <c r="AG39">
        <v>0.186</v>
      </c>
      <c r="AH39">
        <f t="shared" si="15"/>
        <v>2.1999999999999992E-2</v>
      </c>
      <c r="AI39">
        <v>0.188</v>
      </c>
      <c r="AJ39">
        <f t="shared" si="16"/>
        <v>1.2000000000000011E-2</v>
      </c>
      <c r="AK39">
        <v>0.14000000000000001</v>
      </c>
      <c r="AL39">
        <f t="shared" si="17"/>
        <v>-6.3E-2</v>
      </c>
      <c r="AM39" s="1">
        <v>0.10299999999999999</v>
      </c>
      <c r="AN39" s="2">
        <f t="shared" si="18"/>
        <v>-8.0000000000000071E-3</v>
      </c>
      <c r="AO39" s="1">
        <v>0.109</v>
      </c>
      <c r="AP39" s="2">
        <f t="shared" si="19"/>
        <v>0</v>
      </c>
      <c r="AQ39" s="1">
        <v>0.191</v>
      </c>
      <c r="AR39" s="2">
        <f t="shared" si="20"/>
        <v>7.9000000000000001E-2</v>
      </c>
      <c r="AS39" s="1">
        <v>0.19700000000000001</v>
      </c>
      <c r="AT39" s="2">
        <f t="shared" si="21"/>
        <v>1.0000000000000009E-3</v>
      </c>
      <c r="AU39" s="1">
        <v>0.216</v>
      </c>
      <c r="AV39" s="2">
        <f t="shared" si="22"/>
        <v>1.7999999999999988E-2</v>
      </c>
      <c r="AW39" s="1">
        <v>0.253</v>
      </c>
      <c r="AX39" s="2">
        <f t="shared" si="23"/>
        <v>4.7000000000000014E-2</v>
      </c>
      <c r="AY39" s="1">
        <v>0.19700000000000001</v>
      </c>
      <c r="AZ39">
        <f t="shared" si="24"/>
        <v>-1.1999999999999983E-2</v>
      </c>
      <c r="BA39" s="1">
        <v>0.20899999999999999</v>
      </c>
      <c r="BB39">
        <f t="shared" si="25"/>
        <v>3.0000000000000027E-3</v>
      </c>
      <c r="BC39" s="1">
        <v>0.223</v>
      </c>
      <c r="BD39">
        <f t="shared" si="26"/>
        <v>9.000000000000008E-3</v>
      </c>
      <c r="BE39" s="1">
        <v>0.19500000000000001</v>
      </c>
      <c r="BF39">
        <f t="shared" si="27"/>
        <v>-2.1999999999999992E-2</v>
      </c>
      <c r="BG39" s="1">
        <v>0.20399999999999999</v>
      </c>
      <c r="BH39">
        <f t="shared" si="28"/>
        <v>-1.0000000000000009E-3</v>
      </c>
      <c r="BI39" s="1">
        <v>0.246</v>
      </c>
      <c r="BJ39">
        <f t="shared" si="29"/>
        <v>4.0000000000000008E-2</v>
      </c>
      <c r="BK39" s="1">
        <v>0.19400000000000001</v>
      </c>
      <c r="BL39">
        <f t="shared" si="30"/>
        <v>-2.4999999999999994E-2</v>
      </c>
      <c r="BM39" s="1">
        <v>0.20300000000000001</v>
      </c>
      <c r="BN39">
        <f t="shared" si="31"/>
        <v>-1.2999999999999984E-2</v>
      </c>
      <c r="BO39" s="1">
        <v>0.22800000000000001</v>
      </c>
      <c r="BP39">
        <f t="shared" si="32"/>
        <v>7.0000000000000062E-3</v>
      </c>
      <c r="BQ39">
        <v>0.193</v>
      </c>
      <c r="BR39">
        <f t="shared" si="33"/>
        <v>-2.5999999999999995E-2</v>
      </c>
      <c r="BS39">
        <v>0.20100000000000001</v>
      </c>
      <c r="BT39">
        <f t="shared" si="34"/>
        <v>-1.0000000000000009E-3</v>
      </c>
      <c r="BU39">
        <v>0.222</v>
      </c>
      <c r="BV39">
        <f t="shared" si="35"/>
        <v>-2.0000000000000018E-3</v>
      </c>
      <c r="BW39" s="1">
        <v>0.109</v>
      </c>
      <c r="BX39" s="2">
        <f t="shared" si="36"/>
        <v>-0.05</v>
      </c>
      <c r="BY39" s="1">
        <v>9.6000000000000002E-2</v>
      </c>
      <c r="BZ39" s="2">
        <f t="shared" si="37"/>
        <v>-7.9999999999999932E-3</v>
      </c>
      <c r="CA39" s="1">
        <v>0.185</v>
      </c>
      <c r="CB39" s="2">
        <f t="shared" si="38"/>
        <v>-0.30399999999999999</v>
      </c>
      <c r="CC39" s="1">
        <v>0.16400000000000001</v>
      </c>
      <c r="CD39" s="2">
        <f t="shared" si="39"/>
        <v>-5.099999999999999E-2</v>
      </c>
      <c r="CE39" s="1">
        <v>0.14399999999999999</v>
      </c>
      <c r="CF39" s="2">
        <f t="shared" si="40"/>
        <v>-3.8000000000000006E-2</v>
      </c>
      <c r="CG39" s="1">
        <v>0.20200000000000001</v>
      </c>
      <c r="CH39" s="2">
        <f t="shared" si="41"/>
        <v>1.100000000000001E-2</v>
      </c>
      <c r="CI39" s="1">
        <v>0.161</v>
      </c>
      <c r="CJ39">
        <f t="shared" si="42"/>
        <v>-4.8999999999999988E-2</v>
      </c>
      <c r="CK39" s="1">
        <v>0.158</v>
      </c>
      <c r="CL39">
        <f t="shared" si="43"/>
        <v>-3.7000000000000005E-2</v>
      </c>
      <c r="CM39" s="1">
        <v>0.17199999999999999</v>
      </c>
      <c r="CN39">
        <f t="shared" si="44"/>
        <v>-3.5000000000000003E-2</v>
      </c>
      <c r="CO39" s="1">
        <v>0.16</v>
      </c>
      <c r="CP39">
        <f t="shared" si="45"/>
        <v>-5.6999999999999995E-2</v>
      </c>
      <c r="CQ39" s="1">
        <v>0.159</v>
      </c>
      <c r="CR39">
        <f t="shared" si="46"/>
        <v>-4.0000000000000008E-2</v>
      </c>
      <c r="CS39" s="1">
        <v>0.17499999999999999</v>
      </c>
      <c r="CT39">
        <f t="shared" si="47"/>
        <v>-2.5000000000000022E-2</v>
      </c>
      <c r="CU39" s="1">
        <v>0.161</v>
      </c>
      <c r="CV39">
        <f t="shared" si="48"/>
        <v>-5.8999999999999997E-2</v>
      </c>
      <c r="CW39" s="1">
        <v>0.16400000000000001</v>
      </c>
      <c r="CX39">
        <f t="shared" si="49"/>
        <v>-4.1999999999999982E-2</v>
      </c>
      <c r="CY39" s="1">
        <v>0.16700000000000001</v>
      </c>
      <c r="CZ39">
        <f t="shared" si="50"/>
        <v>-4.0999999999999981E-2</v>
      </c>
      <c r="DA39">
        <v>0.16</v>
      </c>
      <c r="DB39">
        <f t="shared" si="51"/>
        <v>-5.5999999999999994E-2</v>
      </c>
      <c r="DC39">
        <v>0.16400000000000001</v>
      </c>
      <c r="DD39">
        <f t="shared" si="52"/>
        <v>-3.9000000000000007E-2</v>
      </c>
      <c r="DE39">
        <v>0.21199999999999999</v>
      </c>
      <c r="DF39">
        <f t="shared" si="53"/>
        <v>7.0000000000000062E-3</v>
      </c>
    </row>
    <row r="40" spans="1:110">
      <c r="A40" t="s">
        <v>131</v>
      </c>
      <c r="B40" t="s">
        <v>132</v>
      </c>
      <c r="C40" s="1">
        <v>0.11</v>
      </c>
      <c r="D40" s="1">
        <f t="shared" si="0"/>
        <v>-1.3999999999999999E-2</v>
      </c>
      <c r="E40" s="1">
        <v>0.14000000000000001</v>
      </c>
      <c r="F40">
        <f t="shared" si="1"/>
        <v>2.200000000000002E-2</v>
      </c>
      <c r="G40" s="1">
        <v>0.13500000000000001</v>
      </c>
      <c r="H40">
        <f t="shared" si="2"/>
        <v>1.0000000000000009E-3</v>
      </c>
      <c r="I40" s="1">
        <v>0.155</v>
      </c>
      <c r="J40">
        <f t="shared" si="3"/>
        <v>-1.6999999999999987E-2</v>
      </c>
      <c r="K40" s="1">
        <v>0.223</v>
      </c>
      <c r="L40">
        <f t="shared" si="4"/>
        <v>4.7000000000000014E-2</v>
      </c>
      <c r="M40" s="1">
        <v>0.20100000000000001</v>
      </c>
      <c r="N40">
        <f t="shared" si="5"/>
        <v>3.4000000000000002E-2</v>
      </c>
      <c r="O40" s="1">
        <v>0.14599999999999999</v>
      </c>
      <c r="P40">
        <f t="shared" si="6"/>
        <v>-2.1000000000000019E-2</v>
      </c>
      <c r="Q40" s="1">
        <v>0.20899999999999999</v>
      </c>
      <c r="R40">
        <f t="shared" si="7"/>
        <v>3.7999999999999978E-2</v>
      </c>
      <c r="S40" s="1">
        <v>0.17499999999999999</v>
      </c>
      <c r="T40">
        <f t="shared" si="8"/>
        <v>-2.1000000000000019E-2</v>
      </c>
      <c r="U40" s="1">
        <v>0.16400000000000001</v>
      </c>
      <c r="V40">
        <f t="shared" si="9"/>
        <v>-2.5999999999999995E-2</v>
      </c>
      <c r="W40" s="1">
        <v>0.20599999999999999</v>
      </c>
      <c r="X40">
        <f t="shared" si="10"/>
        <v>2.1999999999999992E-2</v>
      </c>
      <c r="Y40" s="1">
        <v>0.17599999999999999</v>
      </c>
      <c r="Z40">
        <f t="shared" si="11"/>
        <v>-5.1000000000000018E-2</v>
      </c>
      <c r="AA40" s="1">
        <v>0.152</v>
      </c>
      <c r="AB40">
        <f t="shared" si="12"/>
        <v>-4.0000000000000008E-2</v>
      </c>
      <c r="AC40" s="1">
        <v>0.20799999999999999</v>
      </c>
      <c r="AD40">
        <f t="shared" si="13"/>
        <v>3.3000000000000002E-2</v>
      </c>
      <c r="AE40" s="1">
        <v>0.17799999999999999</v>
      </c>
      <c r="AF40">
        <f t="shared" si="14"/>
        <v>-3.8000000000000006E-2</v>
      </c>
      <c r="AG40">
        <v>0.14699999999999999</v>
      </c>
      <c r="AH40">
        <f t="shared" si="15"/>
        <v>-1.7000000000000015E-2</v>
      </c>
      <c r="AI40">
        <v>0.20699999999999999</v>
      </c>
      <c r="AJ40">
        <f t="shared" si="16"/>
        <v>3.1E-2</v>
      </c>
      <c r="AK40">
        <v>0.17899999999999999</v>
      </c>
      <c r="AL40">
        <f t="shared" si="17"/>
        <v>-2.4000000000000021E-2</v>
      </c>
      <c r="AM40" s="1">
        <v>0.125</v>
      </c>
      <c r="AN40" s="2">
        <f t="shared" si="18"/>
        <v>1.3999999999999999E-2</v>
      </c>
      <c r="AO40" s="1">
        <v>0.14799999999999999</v>
      </c>
      <c r="AP40" s="2">
        <f t="shared" si="19"/>
        <v>3.8999999999999993E-2</v>
      </c>
      <c r="AQ40" s="1">
        <v>0.189</v>
      </c>
      <c r="AR40" s="2">
        <f t="shared" si="20"/>
        <v>7.6999999999999999E-2</v>
      </c>
      <c r="AS40" s="1">
        <v>0.23200000000000001</v>
      </c>
      <c r="AT40" s="2">
        <f t="shared" si="21"/>
        <v>3.6000000000000004E-2</v>
      </c>
      <c r="AU40" s="1">
        <v>0.26200000000000001</v>
      </c>
      <c r="AV40" s="2">
        <f t="shared" si="22"/>
        <v>6.4000000000000001E-2</v>
      </c>
      <c r="AW40" s="1">
        <v>0.29099999999999998</v>
      </c>
      <c r="AX40" s="2">
        <f t="shared" si="23"/>
        <v>8.4999999999999992E-2</v>
      </c>
      <c r="AY40" s="1">
        <v>0.247</v>
      </c>
      <c r="AZ40">
        <f t="shared" si="24"/>
        <v>3.8000000000000006E-2</v>
      </c>
      <c r="BA40" s="1">
        <v>0.26400000000000001</v>
      </c>
      <c r="BB40">
        <f t="shared" si="25"/>
        <v>5.8000000000000024E-2</v>
      </c>
      <c r="BC40" s="1">
        <v>0.246</v>
      </c>
      <c r="BD40">
        <f t="shared" si="26"/>
        <v>3.2000000000000001E-2</v>
      </c>
      <c r="BE40" s="1">
        <v>0.25</v>
      </c>
      <c r="BF40">
        <f t="shared" si="27"/>
        <v>3.3000000000000002E-2</v>
      </c>
      <c r="BG40" s="1">
        <v>0.26700000000000002</v>
      </c>
      <c r="BH40">
        <f t="shared" si="28"/>
        <v>6.2000000000000027E-2</v>
      </c>
      <c r="BI40" s="1">
        <v>0.26600000000000001</v>
      </c>
      <c r="BJ40">
        <f t="shared" si="29"/>
        <v>6.0000000000000026E-2</v>
      </c>
      <c r="BK40" s="1">
        <v>0.245</v>
      </c>
      <c r="BL40">
        <f t="shared" si="30"/>
        <v>2.5999999999999995E-2</v>
      </c>
      <c r="BM40" s="1">
        <v>0.26800000000000002</v>
      </c>
      <c r="BN40">
        <f t="shared" si="31"/>
        <v>5.2000000000000018E-2</v>
      </c>
      <c r="BO40" s="1">
        <v>0.246</v>
      </c>
      <c r="BP40">
        <f t="shared" si="32"/>
        <v>2.4999999999999994E-2</v>
      </c>
      <c r="BQ40">
        <v>0.25</v>
      </c>
      <c r="BR40">
        <f t="shared" si="33"/>
        <v>3.1E-2</v>
      </c>
      <c r="BS40">
        <v>0.26600000000000001</v>
      </c>
      <c r="BT40">
        <f t="shared" si="34"/>
        <v>6.4000000000000001E-2</v>
      </c>
      <c r="BU40">
        <v>0.29399999999999998</v>
      </c>
      <c r="BV40">
        <f t="shared" si="35"/>
        <v>6.9999999999999979E-2</v>
      </c>
      <c r="BW40" s="1">
        <v>0.121</v>
      </c>
      <c r="BX40" s="2">
        <f t="shared" si="36"/>
        <v>-3.8000000000000006E-2</v>
      </c>
      <c r="BY40" s="1">
        <v>0.106</v>
      </c>
      <c r="BZ40" s="2">
        <f t="shared" si="37"/>
        <v>2.0000000000000018E-3</v>
      </c>
      <c r="CA40" s="1">
        <v>0.183</v>
      </c>
      <c r="CB40" s="2">
        <f t="shared" si="38"/>
        <v>-0.30599999999999999</v>
      </c>
      <c r="CC40" s="1">
        <v>0.19800000000000001</v>
      </c>
      <c r="CD40" s="2">
        <f t="shared" si="39"/>
        <v>-1.6999999999999987E-2</v>
      </c>
      <c r="CE40" s="1">
        <v>0.214</v>
      </c>
      <c r="CF40" s="2">
        <f t="shared" si="40"/>
        <v>3.2000000000000001E-2</v>
      </c>
      <c r="CG40" s="1">
        <v>0.26800000000000002</v>
      </c>
      <c r="CH40" s="2">
        <f t="shared" si="41"/>
        <v>7.7000000000000013E-2</v>
      </c>
      <c r="CI40" s="1">
        <v>0.20599999999999999</v>
      </c>
      <c r="CJ40">
        <f t="shared" si="42"/>
        <v>-4.0000000000000036E-3</v>
      </c>
      <c r="CK40" s="1">
        <v>0.22</v>
      </c>
      <c r="CL40">
        <f t="shared" si="43"/>
        <v>2.4999999999999994E-2</v>
      </c>
      <c r="CM40" s="1">
        <v>0.23</v>
      </c>
      <c r="CN40">
        <f t="shared" si="44"/>
        <v>2.300000000000002E-2</v>
      </c>
      <c r="CO40" s="1">
        <v>0.20699999999999999</v>
      </c>
      <c r="CP40">
        <f t="shared" si="45"/>
        <v>-1.0000000000000009E-2</v>
      </c>
      <c r="CQ40" s="1">
        <v>0.223</v>
      </c>
      <c r="CR40">
        <f t="shared" si="46"/>
        <v>2.3999999999999994E-2</v>
      </c>
      <c r="CS40" s="1">
        <v>0.22800000000000001</v>
      </c>
      <c r="CT40">
        <f t="shared" si="47"/>
        <v>2.7999999999999997E-2</v>
      </c>
      <c r="CU40" s="1">
        <v>0.20200000000000001</v>
      </c>
      <c r="CV40">
        <f t="shared" si="48"/>
        <v>-1.7999999999999988E-2</v>
      </c>
      <c r="CW40" s="1">
        <v>0.219</v>
      </c>
      <c r="CX40">
        <f t="shared" si="49"/>
        <v>1.3000000000000012E-2</v>
      </c>
      <c r="CY40" s="1">
        <v>0.216</v>
      </c>
      <c r="CZ40">
        <f t="shared" si="50"/>
        <v>8.0000000000000071E-3</v>
      </c>
      <c r="DA40">
        <v>0.20200000000000001</v>
      </c>
      <c r="DB40">
        <f t="shared" si="51"/>
        <v>-1.3999999999999985E-2</v>
      </c>
      <c r="DC40">
        <v>0.214</v>
      </c>
      <c r="DD40">
        <f t="shared" si="52"/>
        <v>1.0999999999999982E-2</v>
      </c>
      <c r="DE40">
        <v>0.28100000000000003</v>
      </c>
      <c r="DF40">
        <f t="shared" si="53"/>
        <v>7.600000000000004E-2</v>
      </c>
    </row>
    <row r="41" spans="1:110">
      <c r="A41" t="s">
        <v>133</v>
      </c>
      <c r="B41" t="s">
        <v>134</v>
      </c>
      <c r="C41" s="1">
        <v>0.109</v>
      </c>
      <c r="D41" s="1">
        <f t="shared" si="0"/>
        <v>-1.4999999999999999E-2</v>
      </c>
      <c r="E41" s="1">
        <v>0.13700000000000001</v>
      </c>
      <c r="F41">
        <f t="shared" si="1"/>
        <v>1.9000000000000017E-2</v>
      </c>
      <c r="G41" s="1">
        <v>0.11700000000000001</v>
      </c>
      <c r="H41">
        <f t="shared" si="2"/>
        <v>-1.7000000000000001E-2</v>
      </c>
      <c r="I41" s="1">
        <v>0.55600000000000005</v>
      </c>
      <c r="J41">
        <f t="shared" si="3"/>
        <v>0.38400000000000006</v>
      </c>
      <c r="K41" s="1">
        <v>0.62</v>
      </c>
      <c r="L41">
        <f t="shared" si="4"/>
        <v>0.44400000000000001</v>
      </c>
      <c r="M41" s="1">
        <v>0.63400000000000001</v>
      </c>
      <c r="N41">
        <f t="shared" si="5"/>
        <v>0.46699999999999997</v>
      </c>
      <c r="O41" s="1">
        <v>0.84699999999999998</v>
      </c>
      <c r="P41">
        <f t="shared" si="6"/>
        <v>0.67999999999999994</v>
      </c>
      <c r="Q41" s="1">
        <v>0.92700000000000005</v>
      </c>
      <c r="R41">
        <f t="shared" si="7"/>
        <v>0.75600000000000001</v>
      </c>
      <c r="S41" s="1">
        <v>0.85299999999999998</v>
      </c>
      <c r="T41">
        <f t="shared" si="8"/>
        <v>0.65700000000000003</v>
      </c>
      <c r="U41" s="1">
        <v>0.98899999999999999</v>
      </c>
      <c r="V41">
        <f t="shared" si="9"/>
        <v>0.79899999999999993</v>
      </c>
      <c r="W41" s="1">
        <v>0.98699999999999999</v>
      </c>
      <c r="X41">
        <f t="shared" si="10"/>
        <v>0.80299999999999994</v>
      </c>
      <c r="Y41" s="1">
        <v>0.94599999999999995</v>
      </c>
      <c r="Z41">
        <f t="shared" si="11"/>
        <v>0.71899999999999997</v>
      </c>
      <c r="AA41" s="1">
        <v>1.046</v>
      </c>
      <c r="AB41">
        <f t="shared" si="12"/>
        <v>0.85400000000000009</v>
      </c>
      <c r="AC41" s="1">
        <v>1.0009999999999999</v>
      </c>
      <c r="AD41">
        <f t="shared" si="13"/>
        <v>0.82599999999999985</v>
      </c>
      <c r="AE41" s="1">
        <v>0.97399999999999998</v>
      </c>
      <c r="AF41">
        <f t="shared" si="14"/>
        <v>0.75800000000000001</v>
      </c>
      <c r="AG41">
        <v>1.1220000000000001</v>
      </c>
      <c r="AH41">
        <f t="shared" si="15"/>
        <v>0.95800000000000007</v>
      </c>
      <c r="AI41">
        <v>1.052</v>
      </c>
      <c r="AJ41">
        <f t="shared" si="16"/>
        <v>0.87600000000000011</v>
      </c>
      <c r="AK41">
        <v>0.97</v>
      </c>
      <c r="AL41">
        <f t="shared" si="17"/>
        <v>0.7669999999999999</v>
      </c>
      <c r="AM41" s="1">
        <v>0.14499999999999999</v>
      </c>
      <c r="AN41" s="2">
        <f t="shared" si="18"/>
        <v>3.3999999999999989E-2</v>
      </c>
      <c r="AO41" s="1">
        <v>0.11799999999999999</v>
      </c>
      <c r="AP41" s="2">
        <f t="shared" si="19"/>
        <v>8.9999999999999941E-3</v>
      </c>
      <c r="AQ41" s="1">
        <v>0.19900000000000001</v>
      </c>
      <c r="AR41" s="2">
        <f t="shared" si="20"/>
        <v>8.7000000000000008E-2</v>
      </c>
      <c r="AS41" s="1">
        <v>0.65200000000000002</v>
      </c>
      <c r="AT41" s="2">
        <f t="shared" si="21"/>
        <v>0.45600000000000002</v>
      </c>
      <c r="AU41" s="1">
        <v>0.65200000000000002</v>
      </c>
      <c r="AV41" s="2">
        <f t="shared" si="22"/>
        <v>0.45400000000000001</v>
      </c>
      <c r="AW41" s="1">
        <v>0.73</v>
      </c>
      <c r="AX41" s="2">
        <f t="shared" si="23"/>
        <v>0.52400000000000002</v>
      </c>
      <c r="AY41" s="1">
        <v>0.85899999999999999</v>
      </c>
      <c r="AZ41">
        <f t="shared" si="24"/>
        <v>0.65</v>
      </c>
      <c r="BA41" s="1">
        <v>0.86099999999999999</v>
      </c>
      <c r="BB41">
        <f t="shared" si="25"/>
        <v>0.65500000000000003</v>
      </c>
      <c r="BC41" s="1">
        <v>0.84</v>
      </c>
      <c r="BD41">
        <f t="shared" si="26"/>
        <v>0.626</v>
      </c>
      <c r="BE41" s="1">
        <v>0.97599999999999998</v>
      </c>
      <c r="BF41">
        <f t="shared" si="27"/>
        <v>0.75900000000000001</v>
      </c>
      <c r="BG41" s="1">
        <v>0.97499999999999998</v>
      </c>
      <c r="BH41">
        <f t="shared" si="28"/>
        <v>0.77</v>
      </c>
      <c r="BI41" s="1">
        <v>1.012</v>
      </c>
      <c r="BJ41">
        <f t="shared" si="29"/>
        <v>0.80600000000000005</v>
      </c>
      <c r="BK41" s="1">
        <v>1.1499999999999999</v>
      </c>
      <c r="BL41">
        <f t="shared" si="30"/>
        <v>0.93099999999999994</v>
      </c>
      <c r="BM41" s="1">
        <v>1.1619999999999999</v>
      </c>
      <c r="BN41">
        <f t="shared" si="31"/>
        <v>0.94599999999999995</v>
      </c>
      <c r="BO41" s="1">
        <v>1.091</v>
      </c>
      <c r="BP41">
        <f t="shared" si="32"/>
        <v>0.87</v>
      </c>
      <c r="BQ41">
        <v>1.095</v>
      </c>
      <c r="BR41">
        <f t="shared" si="33"/>
        <v>0.876</v>
      </c>
      <c r="BS41">
        <v>1.1020000000000001</v>
      </c>
      <c r="BT41">
        <f t="shared" si="34"/>
        <v>0.90000000000000013</v>
      </c>
      <c r="BU41">
        <v>1.1659999999999999</v>
      </c>
      <c r="BV41">
        <f t="shared" si="35"/>
        <v>0.94199999999999995</v>
      </c>
      <c r="BW41" s="1">
        <v>0.16</v>
      </c>
      <c r="BX41" s="2">
        <f t="shared" si="36"/>
        <v>1.0000000000000009E-3</v>
      </c>
      <c r="BY41" s="1">
        <v>0.126</v>
      </c>
      <c r="BZ41" s="2">
        <f t="shared" si="37"/>
        <v>2.2000000000000006E-2</v>
      </c>
      <c r="CA41" s="1">
        <v>0.18</v>
      </c>
      <c r="CB41" s="2">
        <f t="shared" si="38"/>
        <v>-0.309</v>
      </c>
      <c r="CC41" s="1">
        <v>0.67900000000000005</v>
      </c>
      <c r="CD41" s="2">
        <f t="shared" si="39"/>
        <v>0.46400000000000008</v>
      </c>
      <c r="CE41" s="1">
        <v>0.67600000000000005</v>
      </c>
      <c r="CF41" s="2">
        <f t="shared" si="40"/>
        <v>0.49400000000000005</v>
      </c>
      <c r="CG41" s="1">
        <v>0.754</v>
      </c>
      <c r="CH41" s="2">
        <f t="shared" si="41"/>
        <v>0.56299999999999994</v>
      </c>
      <c r="CI41" s="1">
        <v>0.91400000000000003</v>
      </c>
      <c r="CJ41">
        <f t="shared" si="42"/>
        <v>0.70400000000000007</v>
      </c>
      <c r="CK41" s="1">
        <v>0.84699999999999998</v>
      </c>
      <c r="CL41">
        <f t="shared" si="43"/>
        <v>0.65199999999999991</v>
      </c>
      <c r="CM41" s="1">
        <v>0.85199999999999998</v>
      </c>
      <c r="CN41">
        <f t="shared" si="44"/>
        <v>0.64500000000000002</v>
      </c>
      <c r="CO41" s="1">
        <v>0.88</v>
      </c>
      <c r="CP41">
        <f t="shared" si="45"/>
        <v>0.66300000000000003</v>
      </c>
      <c r="CQ41" s="1">
        <v>0.93600000000000005</v>
      </c>
      <c r="CR41">
        <f t="shared" si="46"/>
        <v>0.7370000000000001</v>
      </c>
      <c r="CS41" s="1">
        <v>0.91800000000000004</v>
      </c>
      <c r="CT41">
        <f t="shared" si="47"/>
        <v>0.71799999999999997</v>
      </c>
      <c r="CU41" s="1">
        <v>0.97199999999999998</v>
      </c>
      <c r="CV41">
        <f t="shared" si="48"/>
        <v>0.752</v>
      </c>
      <c r="CW41" s="1">
        <v>1.046</v>
      </c>
      <c r="CX41">
        <f t="shared" si="49"/>
        <v>0.84000000000000008</v>
      </c>
      <c r="CY41" s="1">
        <v>1.0189999999999999</v>
      </c>
      <c r="CZ41">
        <f t="shared" si="50"/>
        <v>0.81099999999999994</v>
      </c>
      <c r="DA41">
        <v>0.99399999999999999</v>
      </c>
      <c r="DB41">
        <f t="shared" si="51"/>
        <v>0.77800000000000002</v>
      </c>
      <c r="DC41">
        <v>1.133</v>
      </c>
      <c r="DD41">
        <f t="shared" si="52"/>
        <v>0.92999999999999994</v>
      </c>
      <c r="DE41">
        <v>1.1220000000000001</v>
      </c>
      <c r="DF41">
        <f t="shared" si="53"/>
        <v>0.91700000000000015</v>
      </c>
    </row>
    <row r="42" spans="1:110">
      <c r="A42" t="s">
        <v>135</v>
      </c>
      <c r="B42" t="s">
        <v>136</v>
      </c>
      <c r="C42" s="1">
        <v>0.16700000000000001</v>
      </c>
      <c r="D42" s="1">
        <f t="shared" si="0"/>
        <v>4.300000000000001E-2</v>
      </c>
      <c r="E42" s="1">
        <v>0.184</v>
      </c>
      <c r="F42">
        <f t="shared" si="1"/>
        <v>6.6000000000000003E-2</v>
      </c>
      <c r="G42" s="1">
        <v>0.109</v>
      </c>
      <c r="H42">
        <f t="shared" si="2"/>
        <v>-2.5000000000000008E-2</v>
      </c>
      <c r="I42" s="1">
        <v>0.78400000000000003</v>
      </c>
      <c r="J42">
        <f t="shared" si="3"/>
        <v>0.6120000000000001</v>
      </c>
      <c r="K42" s="1">
        <v>0.92700000000000005</v>
      </c>
      <c r="L42">
        <f t="shared" si="4"/>
        <v>0.75100000000000011</v>
      </c>
      <c r="M42" s="1">
        <v>0.82299999999999995</v>
      </c>
      <c r="N42">
        <f t="shared" si="5"/>
        <v>0.65599999999999992</v>
      </c>
      <c r="O42" s="1">
        <v>0.879</v>
      </c>
      <c r="P42">
        <f t="shared" si="6"/>
        <v>0.71199999999999997</v>
      </c>
      <c r="Q42" s="1">
        <v>1.105</v>
      </c>
      <c r="R42">
        <f t="shared" si="7"/>
        <v>0.93399999999999994</v>
      </c>
      <c r="S42" s="1">
        <v>0.97</v>
      </c>
      <c r="T42">
        <f t="shared" si="8"/>
        <v>0.77400000000000002</v>
      </c>
      <c r="U42" s="1">
        <v>0.88500000000000001</v>
      </c>
      <c r="V42">
        <f t="shared" si="9"/>
        <v>0.69500000000000006</v>
      </c>
      <c r="W42" s="1">
        <v>1.002</v>
      </c>
      <c r="X42">
        <f t="shared" si="10"/>
        <v>0.81800000000000006</v>
      </c>
      <c r="Y42" s="1">
        <v>0.84499999999999997</v>
      </c>
      <c r="Z42">
        <f t="shared" si="11"/>
        <v>0.61799999999999999</v>
      </c>
      <c r="AA42" s="1">
        <v>0.79700000000000004</v>
      </c>
      <c r="AB42">
        <f t="shared" si="12"/>
        <v>0.60499999999999998</v>
      </c>
      <c r="AC42" s="1">
        <v>1.0289999999999999</v>
      </c>
      <c r="AD42">
        <f t="shared" si="13"/>
        <v>0.85399999999999987</v>
      </c>
      <c r="AE42" s="1">
        <v>0.88800000000000001</v>
      </c>
      <c r="AF42">
        <f t="shared" si="14"/>
        <v>0.67200000000000004</v>
      </c>
      <c r="AG42">
        <v>0.79900000000000004</v>
      </c>
      <c r="AH42">
        <f t="shared" si="15"/>
        <v>0.63500000000000001</v>
      </c>
      <c r="AI42">
        <v>0.96099999999999997</v>
      </c>
      <c r="AJ42">
        <f t="shared" si="16"/>
        <v>0.78499999999999992</v>
      </c>
      <c r="AK42">
        <v>0.88800000000000001</v>
      </c>
      <c r="AL42">
        <f t="shared" si="17"/>
        <v>0.68500000000000005</v>
      </c>
      <c r="AM42" s="1">
        <v>0.17499999999999999</v>
      </c>
      <c r="AN42" s="2">
        <f t="shared" si="18"/>
        <v>6.3999999999999987E-2</v>
      </c>
      <c r="AO42" s="1">
        <v>0.123</v>
      </c>
      <c r="AP42" s="2">
        <f t="shared" si="19"/>
        <v>1.3999999999999999E-2</v>
      </c>
      <c r="AQ42" s="1">
        <v>0.24099999999999999</v>
      </c>
      <c r="AR42" s="2">
        <f t="shared" si="20"/>
        <v>0.129</v>
      </c>
      <c r="AS42" s="1">
        <v>0.83699999999999997</v>
      </c>
      <c r="AT42" s="2">
        <f t="shared" si="21"/>
        <v>0.64100000000000001</v>
      </c>
      <c r="AU42" s="1">
        <v>0.89700000000000002</v>
      </c>
      <c r="AV42" s="2">
        <f t="shared" si="22"/>
        <v>0.69900000000000007</v>
      </c>
      <c r="AW42" s="1">
        <v>0.877</v>
      </c>
      <c r="AX42" s="2">
        <f t="shared" si="23"/>
        <v>0.67100000000000004</v>
      </c>
      <c r="AY42" s="1">
        <v>1.1220000000000001</v>
      </c>
      <c r="AZ42">
        <f t="shared" si="24"/>
        <v>0.91300000000000014</v>
      </c>
      <c r="BA42" s="1">
        <v>1.149</v>
      </c>
      <c r="BB42">
        <f t="shared" si="25"/>
        <v>0.94300000000000006</v>
      </c>
      <c r="BC42" s="1">
        <v>1.1299999999999999</v>
      </c>
      <c r="BD42">
        <f t="shared" si="26"/>
        <v>0.91599999999999993</v>
      </c>
      <c r="BE42" s="1">
        <v>1.087</v>
      </c>
      <c r="BF42">
        <f t="shared" si="27"/>
        <v>0.87</v>
      </c>
      <c r="BG42" s="1">
        <v>1.0720000000000001</v>
      </c>
      <c r="BH42">
        <f t="shared" si="28"/>
        <v>0.8670000000000001</v>
      </c>
      <c r="BI42" s="1">
        <v>1.0649999999999999</v>
      </c>
      <c r="BJ42">
        <f t="shared" si="29"/>
        <v>0.85899999999999999</v>
      </c>
      <c r="BK42" s="1">
        <v>1.0740000000000001</v>
      </c>
      <c r="BL42">
        <f t="shared" si="30"/>
        <v>0.85500000000000009</v>
      </c>
      <c r="BM42" s="1">
        <v>1.0669999999999999</v>
      </c>
      <c r="BN42">
        <f t="shared" si="31"/>
        <v>0.85099999999999998</v>
      </c>
      <c r="BO42" s="1">
        <v>1.0409999999999999</v>
      </c>
      <c r="BP42">
        <f t="shared" si="32"/>
        <v>0.82</v>
      </c>
      <c r="BQ42">
        <v>1.0780000000000001</v>
      </c>
      <c r="BR42">
        <f t="shared" si="33"/>
        <v>0.8590000000000001</v>
      </c>
      <c r="BS42">
        <v>1.0760000000000001</v>
      </c>
      <c r="BT42">
        <f t="shared" si="34"/>
        <v>0.87400000000000011</v>
      </c>
      <c r="BU42">
        <v>1.0640000000000001</v>
      </c>
      <c r="BV42">
        <f t="shared" si="35"/>
        <v>0.84000000000000008</v>
      </c>
      <c r="BW42" s="1">
        <v>0.128</v>
      </c>
      <c r="BX42" s="2">
        <f t="shared" si="36"/>
        <v>-3.1E-2</v>
      </c>
      <c r="BY42" s="1">
        <v>0.112</v>
      </c>
      <c r="BZ42" s="2">
        <f t="shared" si="37"/>
        <v>8.0000000000000071E-3</v>
      </c>
      <c r="CA42" s="1">
        <v>0.19600000000000001</v>
      </c>
      <c r="CB42" s="2">
        <f t="shared" si="38"/>
        <v>-0.29299999999999998</v>
      </c>
      <c r="CC42" s="1">
        <v>0.82799999999999996</v>
      </c>
      <c r="CD42" s="2">
        <f t="shared" si="39"/>
        <v>0.61299999999999999</v>
      </c>
      <c r="CE42" s="1">
        <v>0.752</v>
      </c>
      <c r="CF42" s="2">
        <f t="shared" si="40"/>
        <v>0.57000000000000006</v>
      </c>
      <c r="CG42" s="1">
        <v>0.83099999999999996</v>
      </c>
      <c r="CH42" s="2">
        <f t="shared" si="41"/>
        <v>0.6399999999999999</v>
      </c>
      <c r="CI42" s="1">
        <v>1.141</v>
      </c>
      <c r="CJ42">
        <f t="shared" si="42"/>
        <v>0.93100000000000005</v>
      </c>
      <c r="CK42" s="1">
        <v>1.077</v>
      </c>
      <c r="CL42">
        <f t="shared" si="43"/>
        <v>0.8819999999999999</v>
      </c>
      <c r="CM42" s="1">
        <v>1.125</v>
      </c>
      <c r="CN42">
        <f t="shared" si="44"/>
        <v>0.91800000000000004</v>
      </c>
      <c r="CO42" s="1">
        <v>1.0529999999999999</v>
      </c>
      <c r="CP42">
        <f t="shared" si="45"/>
        <v>0.83599999999999997</v>
      </c>
      <c r="CQ42" s="1">
        <v>1.0209999999999999</v>
      </c>
      <c r="CR42">
        <f t="shared" si="46"/>
        <v>0.82199999999999984</v>
      </c>
      <c r="CS42" s="1">
        <v>1.0669999999999999</v>
      </c>
      <c r="CT42">
        <f t="shared" si="47"/>
        <v>0.86699999999999999</v>
      </c>
      <c r="CU42" s="1">
        <v>1.046</v>
      </c>
      <c r="CV42">
        <f t="shared" si="48"/>
        <v>0.82600000000000007</v>
      </c>
      <c r="CW42" s="1">
        <v>1.016</v>
      </c>
      <c r="CX42">
        <f t="shared" si="49"/>
        <v>0.81</v>
      </c>
      <c r="CY42" s="1">
        <v>1.0569999999999999</v>
      </c>
      <c r="CZ42">
        <f t="shared" si="50"/>
        <v>0.84899999999999998</v>
      </c>
      <c r="DA42">
        <v>1.0369999999999999</v>
      </c>
      <c r="DB42">
        <f t="shared" si="51"/>
        <v>0.82099999999999995</v>
      </c>
      <c r="DC42">
        <v>1.0109999999999999</v>
      </c>
      <c r="DD42">
        <f t="shared" si="52"/>
        <v>0.80799999999999983</v>
      </c>
      <c r="DE42">
        <v>1.105</v>
      </c>
      <c r="DF42">
        <f t="shared" si="53"/>
        <v>0.9</v>
      </c>
    </row>
    <row r="43" spans="1:110">
      <c r="A43" t="s">
        <v>137</v>
      </c>
      <c r="B43" t="s">
        <v>138</v>
      </c>
      <c r="C43" s="1">
        <v>0.14199999999999999</v>
      </c>
      <c r="D43" s="1">
        <f t="shared" si="0"/>
        <v>1.7999999999999988E-2</v>
      </c>
      <c r="E43" s="1">
        <v>0.154</v>
      </c>
      <c r="F43">
        <f t="shared" si="1"/>
        <v>3.6000000000000004E-2</v>
      </c>
      <c r="G43" s="1">
        <v>0.11799999999999999</v>
      </c>
      <c r="H43">
        <f t="shared" si="2"/>
        <v>-1.6000000000000014E-2</v>
      </c>
      <c r="I43" s="1">
        <v>0.75700000000000001</v>
      </c>
      <c r="J43">
        <f t="shared" si="3"/>
        <v>0.58499999999999996</v>
      </c>
      <c r="K43" s="1">
        <v>0.93</v>
      </c>
      <c r="L43">
        <f t="shared" si="4"/>
        <v>0.754</v>
      </c>
      <c r="M43" s="1">
        <v>0.85699999999999998</v>
      </c>
      <c r="N43">
        <f t="shared" si="5"/>
        <v>0.69</v>
      </c>
      <c r="O43" s="1">
        <v>0.89800000000000002</v>
      </c>
      <c r="P43">
        <f t="shared" si="6"/>
        <v>0.73099999999999998</v>
      </c>
      <c r="Q43" s="1">
        <v>0.97899999999999998</v>
      </c>
      <c r="R43">
        <f t="shared" si="7"/>
        <v>0.80799999999999994</v>
      </c>
      <c r="S43" s="1">
        <v>0.88500000000000001</v>
      </c>
      <c r="T43">
        <f t="shared" si="8"/>
        <v>0.68900000000000006</v>
      </c>
      <c r="U43" s="1">
        <v>0.82299999999999995</v>
      </c>
      <c r="V43">
        <f t="shared" si="9"/>
        <v>0.63300000000000001</v>
      </c>
      <c r="W43" s="1">
        <v>0.93400000000000005</v>
      </c>
      <c r="X43">
        <f t="shared" si="10"/>
        <v>0.75</v>
      </c>
      <c r="Y43" s="1">
        <v>0.81100000000000005</v>
      </c>
      <c r="Z43">
        <f t="shared" si="11"/>
        <v>0.58400000000000007</v>
      </c>
      <c r="AA43" s="1">
        <v>0.83299999999999996</v>
      </c>
      <c r="AB43">
        <f t="shared" si="12"/>
        <v>0.64100000000000001</v>
      </c>
      <c r="AC43" s="1">
        <v>0.92</v>
      </c>
      <c r="AD43">
        <f t="shared" si="13"/>
        <v>0.74500000000000011</v>
      </c>
      <c r="AE43" s="1">
        <v>0.84699999999999998</v>
      </c>
      <c r="AF43">
        <f t="shared" si="14"/>
        <v>0.63100000000000001</v>
      </c>
      <c r="AG43">
        <v>0.84599999999999997</v>
      </c>
      <c r="AH43">
        <f t="shared" si="15"/>
        <v>0.68199999999999994</v>
      </c>
      <c r="AI43">
        <v>0.93799999999999994</v>
      </c>
      <c r="AJ43">
        <f t="shared" si="16"/>
        <v>0.76200000000000001</v>
      </c>
      <c r="AK43">
        <v>0.85099999999999998</v>
      </c>
      <c r="AL43">
        <f t="shared" si="17"/>
        <v>0.64799999999999991</v>
      </c>
      <c r="AM43" s="1">
        <v>0.10199999999999999</v>
      </c>
      <c r="AN43" s="2">
        <f t="shared" si="18"/>
        <v>-9.000000000000008E-3</v>
      </c>
      <c r="AO43" s="1">
        <v>0.106</v>
      </c>
      <c r="AP43" s="2">
        <f t="shared" si="19"/>
        <v>-3.0000000000000027E-3</v>
      </c>
      <c r="AQ43" s="1">
        <v>0.20300000000000001</v>
      </c>
      <c r="AR43" s="2">
        <f t="shared" si="20"/>
        <v>9.1000000000000011E-2</v>
      </c>
      <c r="AS43" s="1">
        <v>0.59499999999999997</v>
      </c>
      <c r="AT43" s="2">
        <f t="shared" si="21"/>
        <v>0.39899999999999997</v>
      </c>
      <c r="AU43" s="1">
        <v>0.70499999999999996</v>
      </c>
      <c r="AV43" s="2">
        <f t="shared" si="22"/>
        <v>0.5069999999999999</v>
      </c>
      <c r="AW43" s="1">
        <v>0.78400000000000003</v>
      </c>
      <c r="AX43" s="2">
        <f t="shared" si="23"/>
        <v>0.57800000000000007</v>
      </c>
      <c r="AY43" s="1">
        <v>0.874</v>
      </c>
      <c r="AZ43">
        <f t="shared" si="24"/>
        <v>0.66500000000000004</v>
      </c>
      <c r="BA43" s="1">
        <v>0.95799999999999996</v>
      </c>
      <c r="BB43">
        <f t="shared" si="25"/>
        <v>0.752</v>
      </c>
      <c r="BC43" s="1">
        <v>1.0009999999999999</v>
      </c>
      <c r="BD43">
        <f t="shared" si="26"/>
        <v>0.78699999999999992</v>
      </c>
      <c r="BE43" s="1">
        <v>0.87</v>
      </c>
      <c r="BF43">
        <f t="shared" si="27"/>
        <v>0.65300000000000002</v>
      </c>
      <c r="BG43" s="1">
        <v>0.96799999999999997</v>
      </c>
      <c r="BH43">
        <f t="shared" si="28"/>
        <v>0.76300000000000001</v>
      </c>
      <c r="BI43" s="1">
        <v>1.02</v>
      </c>
      <c r="BJ43">
        <f t="shared" si="29"/>
        <v>0.81400000000000006</v>
      </c>
      <c r="BK43" s="1">
        <v>0.86899999999999999</v>
      </c>
      <c r="BL43">
        <f t="shared" si="30"/>
        <v>0.65</v>
      </c>
      <c r="BM43" s="1">
        <v>0.96899999999999997</v>
      </c>
      <c r="BN43">
        <f t="shared" si="31"/>
        <v>0.753</v>
      </c>
      <c r="BO43" s="1">
        <v>1.0029999999999999</v>
      </c>
      <c r="BP43">
        <f t="shared" si="32"/>
        <v>0.78199999999999992</v>
      </c>
      <c r="BQ43">
        <v>0.874</v>
      </c>
      <c r="BR43">
        <f t="shared" si="33"/>
        <v>0.65500000000000003</v>
      </c>
      <c r="BS43">
        <v>0.96899999999999997</v>
      </c>
      <c r="BT43">
        <f t="shared" si="34"/>
        <v>0.7669999999999999</v>
      </c>
      <c r="BU43">
        <v>1.0089999999999999</v>
      </c>
      <c r="BV43">
        <f t="shared" si="35"/>
        <v>0.78499999999999992</v>
      </c>
      <c r="BW43" s="1">
        <v>0.11</v>
      </c>
      <c r="BX43" s="2">
        <f t="shared" si="36"/>
        <v>-4.9000000000000002E-2</v>
      </c>
      <c r="BY43" s="1">
        <v>9.6000000000000002E-2</v>
      </c>
      <c r="BZ43" s="2">
        <f t="shared" si="37"/>
        <v>-7.9999999999999932E-3</v>
      </c>
      <c r="CA43" s="1">
        <v>0.16900000000000001</v>
      </c>
      <c r="CB43" s="2">
        <f t="shared" si="38"/>
        <v>-0.31999999999999995</v>
      </c>
      <c r="CC43" s="1">
        <v>0.63200000000000001</v>
      </c>
      <c r="CD43" s="2">
        <f t="shared" si="39"/>
        <v>0.41700000000000004</v>
      </c>
      <c r="CE43" s="1">
        <v>0.46300000000000002</v>
      </c>
      <c r="CF43" s="2">
        <f t="shared" si="40"/>
        <v>0.28100000000000003</v>
      </c>
      <c r="CG43" s="1">
        <v>0.45100000000000001</v>
      </c>
      <c r="CH43" s="2">
        <f t="shared" si="41"/>
        <v>0.26</v>
      </c>
      <c r="CI43" s="1">
        <v>0.91800000000000004</v>
      </c>
      <c r="CJ43">
        <f t="shared" si="42"/>
        <v>0.70800000000000007</v>
      </c>
      <c r="CK43" s="1">
        <v>0.76700000000000002</v>
      </c>
      <c r="CL43">
        <f t="shared" si="43"/>
        <v>0.57200000000000006</v>
      </c>
      <c r="CM43" s="1">
        <v>0.82099999999999995</v>
      </c>
      <c r="CN43">
        <f t="shared" si="44"/>
        <v>0.61399999999999999</v>
      </c>
      <c r="CO43" s="1">
        <v>0.91200000000000003</v>
      </c>
      <c r="CP43">
        <f t="shared" si="45"/>
        <v>0.69500000000000006</v>
      </c>
      <c r="CQ43" s="1">
        <v>0.75900000000000001</v>
      </c>
      <c r="CR43">
        <f t="shared" si="46"/>
        <v>0.56000000000000005</v>
      </c>
      <c r="CS43" s="1">
        <v>0.78600000000000003</v>
      </c>
      <c r="CT43">
        <f t="shared" si="47"/>
        <v>0.58600000000000008</v>
      </c>
      <c r="CU43" s="1">
        <v>0.91600000000000004</v>
      </c>
      <c r="CV43">
        <f t="shared" si="48"/>
        <v>0.69600000000000006</v>
      </c>
      <c r="CW43" s="1">
        <v>0.752</v>
      </c>
      <c r="CX43">
        <f t="shared" si="49"/>
        <v>0.54600000000000004</v>
      </c>
      <c r="CY43" s="1">
        <v>0.77400000000000002</v>
      </c>
      <c r="CZ43">
        <f t="shared" si="50"/>
        <v>0.56600000000000006</v>
      </c>
      <c r="DA43">
        <v>0.90700000000000003</v>
      </c>
      <c r="DB43">
        <f t="shared" si="51"/>
        <v>0.69100000000000006</v>
      </c>
      <c r="DC43">
        <v>0.745</v>
      </c>
      <c r="DD43">
        <f t="shared" si="52"/>
        <v>0.54200000000000004</v>
      </c>
      <c r="DE43">
        <v>0.81899999999999995</v>
      </c>
      <c r="DF43">
        <f t="shared" si="53"/>
        <v>0.61399999999999999</v>
      </c>
    </row>
    <row r="44" spans="1:110">
      <c r="A44" t="s">
        <v>139</v>
      </c>
      <c r="B44" t="s">
        <v>140</v>
      </c>
      <c r="C44" s="1">
        <v>9.5000000000000001E-2</v>
      </c>
      <c r="D44" s="1">
        <f t="shared" si="0"/>
        <v>-2.8999999999999998E-2</v>
      </c>
      <c r="E44" s="1">
        <v>0.105</v>
      </c>
      <c r="F44">
        <f t="shared" si="1"/>
        <v>-1.2999999999999998E-2</v>
      </c>
      <c r="G44" s="1">
        <v>0.1</v>
      </c>
      <c r="H44">
        <f t="shared" si="2"/>
        <v>-3.4000000000000002E-2</v>
      </c>
      <c r="I44" s="1">
        <v>0.17899999999999999</v>
      </c>
      <c r="J44">
        <f t="shared" si="3"/>
        <v>7.0000000000000062E-3</v>
      </c>
      <c r="K44" s="1">
        <v>0.19400000000000001</v>
      </c>
      <c r="L44">
        <f t="shared" si="4"/>
        <v>1.8000000000000016E-2</v>
      </c>
      <c r="M44" s="1">
        <v>0.17799999999999999</v>
      </c>
      <c r="N44">
        <f t="shared" si="5"/>
        <v>1.0999999999999982E-2</v>
      </c>
      <c r="O44" s="1">
        <v>0.158</v>
      </c>
      <c r="P44">
        <f t="shared" si="6"/>
        <v>-9.000000000000008E-3</v>
      </c>
      <c r="Q44" s="1">
        <v>0.19</v>
      </c>
      <c r="R44">
        <f t="shared" si="7"/>
        <v>1.8999999999999989E-2</v>
      </c>
      <c r="S44" s="1">
        <v>0.16</v>
      </c>
      <c r="T44">
        <f t="shared" si="8"/>
        <v>-3.6000000000000004E-2</v>
      </c>
      <c r="U44" s="1">
        <v>0.188</v>
      </c>
      <c r="V44">
        <f t="shared" si="9"/>
        <v>-2.0000000000000018E-3</v>
      </c>
      <c r="W44" s="1">
        <v>0.17399999999999999</v>
      </c>
      <c r="X44">
        <f t="shared" si="10"/>
        <v>-1.0000000000000009E-2</v>
      </c>
      <c r="Y44" s="1">
        <v>0.16700000000000001</v>
      </c>
      <c r="Z44">
        <f t="shared" si="11"/>
        <v>-0.06</v>
      </c>
      <c r="AA44" s="1">
        <v>0.16700000000000001</v>
      </c>
      <c r="AB44">
        <f t="shared" si="12"/>
        <v>-2.4999999999999994E-2</v>
      </c>
      <c r="AC44" s="1">
        <v>0.17799999999999999</v>
      </c>
      <c r="AD44">
        <f t="shared" si="13"/>
        <v>3.0000000000000027E-3</v>
      </c>
      <c r="AE44" s="1">
        <v>0.17</v>
      </c>
      <c r="AF44">
        <f t="shared" si="14"/>
        <v>-4.5999999999999985E-2</v>
      </c>
      <c r="AG44">
        <v>0.16300000000000001</v>
      </c>
      <c r="AH44">
        <f t="shared" si="15"/>
        <v>-1.0000000000000009E-3</v>
      </c>
      <c r="AI44">
        <v>0.17299999999999999</v>
      </c>
      <c r="AJ44">
        <f t="shared" si="16"/>
        <v>-3.0000000000000027E-3</v>
      </c>
      <c r="AK44">
        <v>0.16600000000000001</v>
      </c>
      <c r="AL44">
        <f t="shared" si="17"/>
        <v>-3.7000000000000005E-2</v>
      </c>
      <c r="AM44" s="1">
        <v>9.8000000000000004E-2</v>
      </c>
      <c r="AN44" s="2">
        <f t="shared" si="18"/>
        <v>-1.2999999999999998E-2</v>
      </c>
      <c r="AO44" s="1">
        <v>0.105</v>
      </c>
      <c r="AP44" s="2">
        <f t="shared" si="19"/>
        <v>-4.0000000000000036E-3</v>
      </c>
      <c r="AQ44" s="1">
        <v>0.17499999999999999</v>
      </c>
      <c r="AR44" s="2">
        <f t="shared" si="20"/>
        <v>6.2999999999999987E-2</v>
      </c>
      <c r="AS44" s="1">
        <v>0.2</v>
      </c>
      <c r="AT44" s="2">
        <f t="shared" si="21"/>
        <v>4.0000000000000036E-3</v>
      </c>
      <c r="AU44" s="1">
        <v>0.2</v>
      </c>
      <c r="AV44" s="2">
        <f t="shared" si="22"/>
        <v>2.0000000000000018E-3</v>
      </c>
      <c r="AW44" s="1">
        <v>0.23899999999999999</v>
      </c>
      <c r="AX44" s="2">
        <f t="shared" si="23"/>
        <v>3.3000000000000002E-2</v>
      </c>
      <c r="AY44" s="1">
        <v>0.20799999999999999</v>
      </c>
      <c r="AZ44">
        <f t="shared" si="24"/>
        <v>-1.0000000000000009E-3</v>
      </c>
      <c r="BA44" s="1">
        <v>0.20599999999999999</v>
      </c>
      <c r="BB44">
        <f t="shared" si="25"/>
        <v>0</v>
      </c>
      <c r="BC44" s="1">
        <v>0.20499999999999999</v>
      </c>
      <c r="BD44">
        <f t="shared" si="26"/>
        <v>-9.000000000000008E-3</v>
      </c>
      <c r="BE44" s="1">
        <v>0.216</v>
      </c>
      <c r="BF44">
        <f t="shared" si="27"/>
        <v>-1.0000000000000009E-3</v>
      </c>
      <c r="BG44" s="1">
        <v>0.216</v>
      </c>
      <c r="BH44">
        <f t="shared" si="28"/>
        <v>1.100000000000001E-2</v>
      </c>
      <c r="BI44" s="1">
        <v>0.22600000000000001</v>
      </c>
      <c r="BJ44">
        <f t="shared" si="29"/>
        <v>2.0000000000000018E-2</v>
      </c>
      <c r="BK44" s="1">
        <v>0.20699999999999999</v>
      </c>
      <c r="BL44">
        <f t="shared" si="30"/>
        <v>-1.2000000000000011E-2</v>
      </c>
      <c r="BM44" s="1">
        <v>0.21</v>
      </c>
      <c r="BN44">
        <f t="shared" si="31"/>
        <v>-6.0000000000000053E-3</v>
      </c>
      <c r="BO44" s="1">
        <v>0.20699999999999999</v>
      </c>
      <c r="BP44">
        <f t="shared" si="32"/>
        <v>-1.4000000000000012E-2</v>
      </c>
      <c r="BQ44">
        <v>0.216</v>
      </c>
      <c r="BR44">
        <f t="shared" si="33"/>
        <v>-3.0000000000000027E-3</v>
      </c>
      <c r="BS44">
        <v>0.219</v>
      </c>
      <c r="BT44">
        <f t="shared" si="34"/>
        <v>1.6999999999999987E-2</v>
      </c>
      <c r="BU44">
        <v>0.247</v>
      </c>
      <c r="BV44">
        <f t="shared" si="35"/>
        <v>2.2999999999999993E-2</v>
      </c>
      <c r="BW44" s="1">
        <v>0.106</v>
      </c>
      <c r="BX44" s="2">
        <f t="shared" si="36"/>
        <v>-5.3000000000000005E-2</v>
      </c>
      <c r="BY44" s="1">
        <v>0.1</v>
      </c>
      <c r="BZ44" s="2">
        <f t="shared" si="37"/>
        <v>-3.9999999999999897E-3</v>
      </c>
      <c r="CA44" s="1">
        <v>0.13400000000000001</v>
      </c>
      <c r="CB44" s="2">
        <f t="shared" si="38"/>
        <v>-0.35499999999999998</v>
      </c>
      <c r="CC44" s="1">
        <v>0.19800000000000001</v>
      </c>
      <c r="CD44" s="2">
        <f t="shared" si="39"/>
        <v>-1.6999999999999987E-2</v>
      </c>
      <c r="CE44" s="1">
        <v>0.2</v>
      </c>
      <c r="CF44" s="2">
        <f t="shared" si="40"/>
        <v>1.8000000000000016E-2</v>
      </c>
      <c r="CG44" s="1">
        <v>0.26300000000000001</v>
      </c>
      <c r="CH44" s="2">
        <f t="shared" si="41"/>
        <v>7.2000000000000008E-2</v>
      </c>
      <c r="CI44" s="1">
        <v>0.20499999999999999</v>
      </c>
      <c r="CJ44">
        <f t="shared" si="42"/>
        <v>-5.0000000000000044E-3</v>
      </c>
      <c r="CK44" s="1">
        <v>0.20499999999999999</v>
      </c>
      <c r="CL44">
        <f t="shared" si="43"/>
        <v>9.9999999999999811E-3</v>
      </c>
      <c r="CM44" s="1">
        <v>0.221</v>
      </c>
      <c r="CN44">
        <f t="shared" si="44"/>
        <v>1.4000000000000012E-2</v>
      </c>
      <c r="CO44" s="1">
        <v>0.218</v>
      </c>
      <c r="CP44">
        <f t="shared" si="45"/>
        <v>1.0000000000000009E-3</v>
      </c>
      <c r="CQ44" s="1">
        <v>0.215</v>
      </c>
      <c r="CR44">
        <f t="shared" si="46"/>
        <v>1.5999999999999986E-2</v>
      </c>
      <c r="CS44" s="1">
        <v>0.221</v>
      </c>
      <c r="CT44">
        <f t="shared" si="47"/>
        <v>2.0999999999999991E-2</v>
      </c>
      <c r="CU44" s="1">
        <v>0.20399999999999999</v>
      </c>
      <c r="CV44">
        <f t="shared" si="48"/>
        <v>-1.6000000000000014E-2</v>
      </c>
      <c r="CW44" s="1">
        <v>0.20100000000000001</v>
      </c>
      <c r="CX44">
        <f t="shared" si="49"/>
        <v>-4.9999999999999767E-3</v>
      </c>
      <c r="CY44" s="1">
        <v>0.214</v>
      </c>
      <c r="CZ44">
        <f t="shared" si="50"/>
        <v>6.0000000000000053E-3</v>
      </c>
      <c r="DA44">
        <v>0.19800000000000001</v>
      </c>
      <c r="DB44">
        <f t="shared" si="51"/>
        <v>-1.7999999999999988E-2</v>
      </c>
      <c r="DC44">
        <v>0.20300000000000001</v>
      </c>
      <c r="DD44">
        <f t="shared" si="52"/>
        <v>0</v>
      </c>
      <c r="DE44">
        <v>0.248</v>
      </c>
      <c r="DF44">
        <f t="shared" si="53"/>
        <v>4.300000000000001E-2</v>
      </c>
    </row>
    <row r="45" spans="1:110">
      <c r="A45" t="s">
        <v>141</v>
      </c>
      <c r="B45" t="s">
        <v>142</v>
      </c>
      <c r="C45" s="1">
        <v>0.13200000000000001</v>
      </c>
      <c r="D45" s="1">
        <f t="shared" si="0"/>
        <v>8.0000000000000071E-3</v>
      </c>
      <c r="E45" s="1">
        <v>0.108</v>
      </c>
      <c r="F45">
        <f t="shared" si="1"/>
        <v>-9.999999999999995E-3</v>
      </c>
      <c r="G45" s="1">
        <v>0.111</v>
      </c>
      <c r="H45">
        <f t="shared" si="2"/>
        <v>-2.3000000000000007E-2</v>
      </c>
      <c r="I45" s="1">
        <v>0.58599999999999997</v>
      </c>
      <c r="J45">
        <f t="shared" si="3"/>
        <v>0.41399999999999998</v>
      </c>
      <c r="K45" s="1">
        <v>0.70199999999999996</v>
      </c>
      <c r="L45">
        <f t="shared" si="4"/>
        <v>0.52600000000000002</v>
      </c>
      <c r="M45" s="1">
        <v>0.53900000000000003</v>
      </c>
      <c r="N45">
        <f t="shared" si="5"/>
        <v>0.372</v>
      </c>
      <c r="O45" s="1">
        <v>1.218</v>
      </c>
      <c r="P45">
        <f t="shared" si="6"/>
        <v>1.0509999999999999</v>
      </c>
      <c r="Q45" s="1">
        <v>1.1950000000000001</v>
      </c>
      <c r="R45">
        <f t="shared" si="7"/>
        <v>1.024</v>
      </c>
      <c r="S45" s="1">
        <v>1.196</v>
      </c>
      <c r="T45">
        <f t="shared" si="8"/>
        <v>1</v>
      </c>
      <c r="U45" s="1">
        <v>0.93700000000000006</v>
      </c>
      <c r="V45">
        <f t="shared" si="9"/>
        <v>0.74700000000000011</v>
      </c>
      <c r="W45" s="1">
        <v>1.034</v>
      </c>
      <c r="X45">
        <f t="shared" si="10"/>
        <v>0.85000000000000009</v>
      </c>
      <c r="Y45" s="1">
        <v>0.85799999999999998</v>
      </c>
      <c r="Z45">
        <f t="shared" si="11"/>
        <v>0.63100000000000001</v>
      </c>
      <c r="AA45" s="1">
        <v>0.86199999999999999</v>
      </c>
      <c r="AB45">
        <f t="shared" si="12"/>
        <v>0.66999999999999993</v>
      </c>
      <c r="AC45" s="1">
        <v>1.1020000000000001</v>
      </c>
      <c r="AD45">
        <f t="shared" si="13"/>
        <v>0.92700000000000005</v>
      </c>
      <c r="AE45" s="1">
        <v>0.84699999999999998</v>
      </c>
      <c r="AF45">
        <f t="shared" si="14"/>
        <v>0.63100000000000001</v>
      </c>
      <c r="AG45">
        <v>0.85199999999999998</v>
      </c>
      <c r="AH45">
        <f t="shared" si="15"/>
        <v>0.68799999999999994</v>
      </c>
      <c r="AI45">
        <v>0.98299999999999998</v>
      </c>
      <c r="AJ45">
        <f t="shared" si="16"/>
        <v>0.80699999999999994</v>
      </c>
      <c r="AK45">
        <v>0.86299999999999999</v>
      </c>
      <c r="AL45">
        <f t="shared" si="17"/>
        <v>0.65999999999999992</v>
      </c>
      <c r="AM45" s="1">
        <v>0.108</v>
      </c>
      <c r="AN45" s="2">
        <f t="shared" si="18"/>
        <v>-3.0000000000000027E-3</v>
      </c>
      <c r="AO45" s="1">
        <v>0.107</v>
      </c>
      <c r="AP45" s="2">
        <f t="shared" si="19"/>
        <v>-2.0000000000000018E-3</v>
      </c>
      <c r="AQ45" s="1">
        <v>0.159</v>
      </c>
      <c r="AR45" s="2">
        <f t="shared" si="20"/>
        <v>4.7E-2</v>
      </c>
      <c r="AS45" s="1">
        <v>0.7</v>
      </c>
      <c r="AT45" s="2">
        <f t="shared" si="21"/>
        <v>0.504</v>
      </c>
      <c r="AU45" s="1">
        <v>0.72</v>
      </c>
      <c r="AV45" s="2">
        <f t="shared" si="22"/>
        <v>0.52200000000000002</v>
      </c>
      <c r="AW45" s="1">
        <v>0.77</v>
      </c>
      <c r="AX45" s="2">
        <f t="shared" si="23"/>
        <v>0.56400000000000006</v>
      </c>
      <c r="AY45" s="1">
        <v>1.3340000000000001</v>
      </c>
      <c r="AZ45">
        <f t="shared" si="24"/>
        <v>1.125</v>
      </c>
      <c r="BA45" s="1">
        <v>1.113</v>
      </c>
      <c r="BB45">
        <f t="shared" si="25"/>
        <v>0.90700000000000003</v>
      </c>
      <c r="BC45" s="1">
        <v>1.1399999999999999</v>
      </c>
      <c r="BD45">
        <f t="shared" si="26"/>
        <v>0.92599999999999993</v>
      </c>
      <c r="BE45" s="1">
        <v>1.2350000000000001</v>
      </c>
      <c r="BF45">
        <f t="shared" si="27"/>
        <v>1.018</v>
      </c>
      <c r="BG45" s="1">
        <v>1.2130000000000001</v>
      </c>
      <c r="BH45">
        <f t="shared" si="28"/>
        <v>1.008</v>
      </c>
      <c r="BI45" s="1">
        <v>1.244</v>
      </c>
      <c r="BJ45">
        <f t="shared" si="29"/>
        <v>1.038</v>
      </c>
      <c r="BK45" s="1">
        <v>1.1879999999999999</v>
      </c>
      <c r="BL45">
        <f t="shared" si="30"/>
        <v>0.96899999999999997</v>
      </c>
      <c r="BM45" s="1">
        <v>1.153</v>
      </c>
      <c r="BN45">
        <f t="shared" si="31"/>
        <v>0.93700000000000006</v>
      </c>
      <c r="BO45" s="1">
        <v>1.169</v>
      </c>
      <c r="BP45">
        <f t="shared" si="32"/>
        <v>0.94800000000000006</v>
      </c>
      <c r="BQ45">
        <v>1.1879999999999999</v>
      </c>
      <c r="BR45">
        <f t="shared" si="33"/>
        <v>0.96899999999999997</v>
      </c>
      <c r="BS45">
        <v>1.157</v>
      </c>
      <c r="BT45">
        <f t="shared" si="34"/>
        <v>0.95500000000000007</v>
      </c>
      <c r="BU45">
        <v>1.179</v>
      </c>
      <c r="BV45">
        <f t="shared" si="35"/>
        <v>0.95500000000000007</v>
      </c>
      <c r="BW45" s="1">
        <v>0.113</v>
      </c>
      <c r="BX45" s="2">
        <f t="shared" si="36"/>
        <v>-4.5999999999999999E-2</v>
      </c>
      <c r="BY45" s="1">
        <v>0.10299999999999999</v>
      </c>
      <c r="BZ45" s="2">
        <f t="shared" si="37"/>
        <v>-1.0000000000000009E-3</v>
      </c>
      <c r="CA45" s="1">
        <v>0.161</v>
      </c>
      <c r="CB45" s="2">
        <f t="shared" si="38"/>
        <v>-0.32799999999999996</v>
      </c>
      <c r="CC45" s="1">
        <v>0.72599999999999998</v>
      </c>
      <c r="CD45" s="2">
        <f t="shared" si="39"/>
        <v>0.51100000000000001</v>
      </c>
      <c r="CE45" s="1">
        <v>0.69399999999999995</v>
      </c>
      <c r="CF45" s="2">
        <f t="shared" si="40"/>
        <v>0.51200000000000001</v>
      </c>
      <c r="CG45" s="1">
        <v>0.69499999999999995</v>
      </c>
      <c r="CH45" s="2">
        <f t="shared" si="41"/>
        <v>0.504</v>
      </c>
      <c r="CI45" s="1">
        <v>1.121</v>
      </c>
      <c r="CJ45">
        <f t="shared" si="42"/>
        <v>0.91100000000000003</v>
      </c>
      <c r="CK45" s="1">
        <v>1.087</v>
      </c>
      <c r="CL45">
        <f t="shared" si="43"/>
        <v>0.8919999999999999</v>
      </c>
      <c r="CM45" s="1">
        <v>1.179</v>
      </c>
      <c r="CN45">
        <f t="shared" si="44"/>
        <v>0.97200000000000009</v>
      </c>
      <c r="CO45" s="1">
        <v>1.2709999999999999</v>
      </c>
      <c r="CP45">
        <f t="shared" si="45"/>
        <v>1.0539999999999998</v>
      </c>
      <c r="CQ45" s="1">
        <v>1.1990000000000001</v>
      </c>
      <c r="CR45">
        <f t="shared" si="46"/>
        <v>1</v>
      </c>
      <c r="CS45" s="1">
        <v>1.2989999999999999</v>
      </c>
      <c r="CT45">
        <f t="shared" si="47"/>
        <v>1.099</v>
      </c>
      <c r="CU45" s="1">
        <v>1.1970000000000001</v>
      </c>
      <c r="CV45">
        <f t="shared" si="48"/>
        <v>0.97700000000000009</v>
      </c>
      <c r="CW45" s="1">
        <v>1.165</v>
      </c>
      <c r="CX45">
        <f t="shared" si="49"/>
        <v>0.95900000000000007</v>
      </c>
      <c r="CY45" s="1">
        <v>1.204</v>
      </c>
      <c r="CZ45">
        <f t="shared" si="50"/>
        <v>0.996</v>
      </c>
      <c r="DA45">
        <v>1.18</v>
      </c>
      <c r="DB45">
        <f t="shared" si="51"/>
        <v>0.96399999999999997</v>
      </c>
      <c r="DC45">
        <v>1.1439999999999999</v>
      </c>
      <c r="DD45">
        <f t="shared" si="52"/>
        <v>0.94099999999999984</v>
      </c>
      <c r="DE45">
        <v>1.1950000000000001</v>
      </c>
      <c r="DF45">
        <f t="shared" si="53"/>
        <v>0.9900000000000001</v>
      </c>
    </row>
    <row r="46" spans="1:110">
      <c r="A46" t="s">
        <v>143</v>
      </c>
      <c r="B46" t="s">
        <v>144</v>
      </c>
      <c r="C46" s="1">
        <v>9.9000000000000005E-2</v>
      </c>
      <c r="D46" s="1">
        <f t="shared" si="0"/>
        <v>-2.4999999999999994E-2</v>
      </c>
      <c r="E46" s="1">
        <v>0.108</v>
      </c>
      <c r="F46">
        <f t="shared" si="1"/>
        <v>-9.999999999999995E-3</v>
      </c>
      <c r="G46" s="1">
        <v>0.10199999999999999</v>
      </c>
      <c r="H46">
        <f t="shared" si="2"/>
        <v>-3.2000000000000015E-2</v>
      </c>
      <c r="I46" s="1">
        <v>0.111</v>
      </c>
      <c r="J46">
        <f t="shared" si="3"/>
        <v>-6.0999999999999985E-2</v>
      </c>
      <c r="K46" s="1">
        <v>0.127</v>
      </c>
      <c r="L46">
        <f t="shared" si="4"/>
        <v>-4.8999999999999988E-2</v>
      </c>
      <c r="M46" s="1">
        <v>0.11700000000000001</v>
      </c>
      <c r="N46">
        <f t="shared" si="5"/>
        <v>-0.05</v>
      </c>
      <c r="O46" s="1">
        <v>0.114</v>
      </c>
      <c r="P46">
        <f t="shared" si="6"/>
        <v>-5.3000000000000005E-2</v>
      </c>
      <c r="Q46" s="1">
        <v>0.15</v>
      </c>
      <c r="R46">
        <f t="shared" si="7"/>
        <v>-2.1000000000000019E-2</v>
      </c>
      <c r="S46" s="1">
        <v>0.127</v>
      </c>
      <c r="T46">
        <f t="shared" si="8"/>
        <v>-6.9000000000000006E-2</v>
      </c>
      <c r="U46" s="1">
        <v>0.11600000000000001</v>
      </c>
      <c r="V46">
        <f t="shared" si="9"/>
        <v>-7.3999999999999996E-2</v>
      </c>
      <c r="W46" s="1">
        <v>0.154</v>
      </c>
      <c r="X46">
        <f t="shared" si="10"/>
        <v>-0.03</v>
      </c>
      <c r="Y46" s="1">
        <v>0.13500000000000001</v>
      </c>
      <c r="Z46">
        <f t="shared" si="11"/>
        <v>-9.1999999999999998E-2</v>
      </c>
      <c r="AA46" s="1">
        <v>0.11799999999999999</v>
      </c>
      <c r="AB46">
        <f t="shared" si="12"/>
        <v>-7.400000000000001E-2</v>
      </c>
      <c r="AC46" s="1">
        <v>0.161</v>
      </c>
      <c r="AD46">
        <f t="shared" si="13"/>
        <v>-1.3999999999999985E-2</v>
      </c>
      <c r="AE46" s="1">
        <v>0.14099999999999999</v>
      </c>
      <c r="AF46">
        <f t="shared" si="14"/>
        <v>-7.5000000000000011E-2</v>
      </c>
      <c r="AG46">
        <v>0.12</v>
      </c>
      <c r="AH46">
        <f t="shared" si="15"/>
        <v>-4.4000000000000011E-2</v>
      </c>
      <c r="AI46">
        <v>0.16200000000000001</v>
      </c>
      <c r="AJ46">
        <f t="shared" si="16"/>
        <v>-1.3999999999999985E-2</v>
      </c>
      <c r="AK46">
        <v>0.14399999999999999</v>
      </c>
      <c r="AL46">
        <f t="shared" si="17"/>
        <v>-5.9000000000000025E-2</v>
      </c>
      <c r="AM46" s="1">
        <v>0.1</v>
      </c>
      <c r="AN46" s="2">
        <f t="shared" si="18"/>
        <v>-1.0999999999999996E-2</v>
      </c>
      <c r="AO46" s="1">
        <v>0.10299999999999999</v>
      </c>
      <c r="AP46" s="2">
        <f t="shared" si="19"/>
        <v>-6.0000000000000053E-3</v>
      </c>
      <c r="AQ46" s="1">
        <v>0.14499999999999999</v>
      </c>
      <c r="AR46" s="2">
        <f t="shared" si="20"/>
        <v>3.2999999999999988E-2</v>
      </c>
      <c r="AS46" s="1">
        <v>0.11</v>
      </c>
      <c r="AT46" s="2">
        <f t="shared" si="21"/>
        <v>-8.6000000000000007E-2</v>
      </c>
      <c r="AU46" s="1">
        <v>0.11700000000000001</v>
      </c>
      <c r="AV46" s="2">
        <f t="shared" si="22"/>
        <v>-8.1000000000000003E-2</v>
      </c>
      <c r="AW46" s="1">
        <v>0.16400000000000001</v>
      </c>
      <c r="AX46" s="2">
        <f t="shared" si="23"/>
        <v>-4.1999999999999982E-2</v>
      </c>
      <c r="AY46" s="1">
        <v>0.121</v>
      </c>
      <c r="AZ46">
        <f t="shared" si="24"/>
        <v>-8.7999999999999995E-2</v>
      </c>
      <c r="BA46" s="1">
        <v>0.13400000000000001</v>
      </c>
      <c r="BB46">
        <f t="shared" si="25"/>
        <v>-7.1999999999999981E-2</v>
      </c>
      <c r="BC46" s="1">
        <v>0.14000000000000001</v>
      </c>
      <c r="BD46">
        <f t="shared" si="26"/>
        <v>-7.3999999999999982E-2</v>
      </c>
      <c r="BE46" s="1">
        <v>0.13500000000000001</v>
      </c>
      <c r="BF46">
        <f t="shared" si="27"/>
        <v>-8.199999999999999E-2</v>
      </c>
      <c r="BG46" s="1">
        <v>0.153</v>
      </c>
      <c r="BH46">
        <f t="shared" si="28"/>
        <v>-5.1999999999999991E-2</v>
      </c>
      <c r="BI46" s="1">
        <v>0.17799999999999999</v>
      </c>
      <c r="BJ46">
        <f t="shared" si="29"/>
        <v>-2.7999999999999997E-2</v>
      </c>
      <c r="BK46" s="1">
        <v>0.14199999999999999</v>
      </c>
      <c r="BL46">
        <f t="shared" si="30"/>
        <v>-7.7000000000000013E-2</v>
      </c>
      <c r="BM46" s="1">
        <v>0.17100000000000001</v>
      </c>
      <c r="BN46">
        <f t="shared" si="31"/>
        <v>-4.4999999999999984E-2</v>
      </c>
      <c r="BO46" s="1">
        <v>0.17599999999999999</v>
      </c>
      <c r="BP46">
        <f t="shared" si="32"/>
        <v>-4.5000000000000012E-2</v>
      </c>
      <c r="BQ46">
        <v>0.14699999999999999</v>
      </c>
      <c r="BR46">
        <f t="shared" si="33"/>
        <v>-7.2000000000000008E-2</v>
      </c>
      <c r="BS46">
        <v>0.182</v>
      </c>
      <c r="BT46">
        <f t="shared" si="34"/>
        <v>-2.0000000000000018E-2</v>
      </c>
      <c r="BU46">
        <v>0.20799999999999999</v>
      </c>
      <c r="BV46">
        <f t="shared" si="35"/>
        <v>-1.6000000000000014E-2</v>
      </c>
      <c r="BW46" s="1">
        <v>0.109</v>
      </c>
      <c r="BX46" s="2">
        <f t="shared" si="36"/>
        <v>-0.05</v>
      </c>
      <c r="BY46" s="1">
        <v>0.10100000000000001</v>
      </c>
      <c r="BZ46" s="2">
        <f t="shared" si="37"/>
        <v>-2.9999999999999888E-3</v>
      </c>
      <c r="CA46" s="1">
        <v>0.11799999999999999</v>
      </c>
      <c r="CB46" s="2">
        <f t="shared" si="38"/>
        <v>-0.371</v>
      </c>
      <c r="CC46" s="1">
        <v>0.125</v>
      </c>
      <c r="CD46" s="2">
        <f t="shared" si="39"/>
        <v>-0.09</v>
      </c>
      <c r="CE46" s="1">
        <v>0.111</v>
      </c>
      <c r="CF46" s="2">
        <f t="shared" si="40"/>
        <v>-7.0999999999999994E-2</v>
      </c>
      <c r="CG46" s="1">
        <v>0.18099999999999999</v>
      </c>
      <c r="CH46" s="2">
        <f t="shared" si="41"/>
        <v>-1.0000000000000009E-2</v>
      </c>
      <c r="CI46" s="1">
        <v>0.14599999999999999</v>
      </c>
      <c r="CJ46">
        <f t="shared" si="42"/>
        <v>-6.4000000000000001E-2</v>
      </c>
      <c r="CK46" s="1">
        <v>0.123</v>
      </c>
      <c r="CL46">
        <f t="shared" si="43"/>
        <v>-7.2000000000000008E-2</v>
      </c>
      <c r="CM46" s="1">
        <v>0.113</v>
      </c>
      <c r="CN46">
        <f t="shared" si="44"/>
        <v>-9.3999999999999986E-2</v>
      </c>
      <c r="CO46" s="1">
        <v>0.16800000000000001</v>
      </c>
      <c r="CP46">
        <f t="shared" si="45"/>
        <v>-4.8999999999999988E-2</v>
      </c>
      <c r="CQ46" s="1">
        <v>0.13100000000000001</v>
      </c>
      <c r="CR46">
        <f t="shared" si="46"/>
        <v>-6.8000000000000005E-2</v>
      </c>
      <c r="CS46" s="1">
        <v>0.113</v>
      </c>
      <c r="CT46">
        <f t="shared" si="47"/>
        <v>-8.7000000000000008E-2</v>
      </c>
      <c r="CU46" s="1">
        <v>0.17399999999999999</v>
      </c>
      <c r="CV46">
        <f t="shared" si="48"/>
        <v>-4.6000000000000013E-2</v>
      </c>
      <c r="CW46" s="1">
        <v>0.13800000000000001</v>
      </c>
      <c r="CX46">
        <f t="shared" si="49"/>
        <v>-6.7999999999999977E-2</v>
      </c>
      <c r="CY46" s="1">
        <v>0.11700000000000001</v>
      </c>
      <c r="CZ46">
        <f t="shared" si="50"/>
        <v>-9.0999999999999984E-2</v>
      </c>
      <c r="DA46">
        <v>0.18</v>
      </c>
      <c r="DB46">
        <f t="shared" si="51"/>
        <v>-3.6000000000000004E-2</v>
      </c>
      <c r="DC46">
        <v>0.13800000000000001</v>
      </c>
      <c r="DD46">
        <f t="shared" si="52"/>
        <v>-6.5000000000000002E-2</v>
      </c>
      <c r="DE46">
        <v>0.151</v>
      </c>
      <c r="DF46">
        <f t="shared" si="53"/>
        <v>-5.3999999999999992E-2</v>
      </c>
    </row>
    <row r="47" spans="1:110">
      <c r="A47" t="s">
        <v>145</v>
      </c>
      <c r="B47" t="s">
        <v>146</v>
      </c>
      <c r="C47" s="1">
        <v>0.10299999999999999</v>
      </c>
      <c r="D47" s="1">
        <f t="shared" si="0"/>
        <v>-2.1000000000000005E-2</v>
      </c>
      <c r="E47" s="1">
        <v>0.112</v>
      </c>
      <c r="F47">
        <f t="shared" si="1"/>
        <v>-5.9999999999999915E-3</v>
      </c>
      <c r="G47" s="1">
        <v>0.105</v>
      </c>
      <c r="H47">
        <f t="shared" si="2"/>
        <v>-2.9000000000000012E-2</v>
      </c>
      <c r="I47" s="1">
        <v>0.11899999999999999</v>
      </c>
      <c r="J47">
        <f t="shared" si="3"/>
        <v>-5.2999999999999992E-2</v>
      </c>
      <c r="K47" s="1">
        <v>0.48</v>
      </c>
      <c r="L47">
        <f t="shared" si="4"/>
        <v>0.30399999999999999</v>
      </c>
      <c r="M47" s="1">
        <v>0.223</v>
      </c>
      <c r="N47">
        <f t="shared" si="5"/>
        <v>5.5999999999999994E-2</v>
      </c>
      <c r="O47" s="1">
        <v>1.3220000000000001</v>
      </c>
      <c r="P47">
        <f t="shared" si="6"/>
        <v>1.155</v>
      </c>
      <c r="Q47" s="1">
        <v>1.5820000000000001</v>
      </c>
      <c r="R47">
        <f t="shared" si="7"/>
        <v>1.411</v>
      </c>
      <c r="S47" s="1">
        <v>1.4419999999999999</v>
      </c>
      <c r="T47">
        <f t="shared" si="8"/>
        <v>1.246</v>
      </c>
      <c r="U47" s="1">
        <v>1.76</v>
      </c>
      <c r="V47">
        <f t="shared" si="9"/>
        <v>1.57</v>
      </c>
      <c r="W47" s="1">
        <v>2.0219999999999998</v>
      </c>
      <c r="X47">
        <f t="shared" si="10"/>
        <v>1.8379999999999999</v>
      </c>
      <c r="Y47" s="1">
        <v>1.887</v>
      </c>
      <c r="Z47">
        <f t="shared" si="11"/>
        <v>1.66</v>
      </c>
      <c r="AA47" s="1">
        <v>1.7689999999999999</v>
      </c>
      <c r="AB47">
        <f t="shared" si="12"/>
        <v>1.577</v>
      </c>
      <c r="AC47" s="1">
        <v>2.0529999999999999</v>
      </c>
      <c r="AD47">
        <f t="shared" si="13"/>
        <v>1.8779999999999999</v>
      </c>
      <c r="AE47" s="1">
        <v>1.9019999999999999</v>
      </c>
      <c r="AF47">
        <f t="shared" si="14"/>
        <v>1.6859999999999999</v>
      </c>
      <c r="AG47">
        <v>1.774</v>
      </c>
      <c r="AH47">
        <f t="shared" si="15"/>
        <v>1.61</v>
      </c>
      <c r="AI47">
        <v>1.8879999999999999</v>
      </c>
      <c r="AJ47">
        <f t="shared" si="16"/>
        <v>1.712</v>
      </c>
      <c r="AK47">
        <v>1.764</v>
      </c>
      <c r="AL47">
        <f t="shared" si="17"/>
        <v>1.5609999999999999</v>
      </c>
      <c r="AM47" s="1">
        <v>9.7000000000000003E-2</v>
      </c>
      <c r="AN47" s="2">
        <f t="shared" si="18"/>
        <v>-1.3999999999999999E-2</v>
      </c>
      <c r="AO47" s="1">
        <v>0.111</v>
      </c>
      <c r="AP47" s="2">
        <f t="shared" si="19"/>
        <v>2.0000000000000018E-3</v>
      </c>
      <c r="AQ47" s="1">
        <v>0.157</v>
      </c>
      <c r="AR47" s="2">
        <f t="shared" si="20"/>
        <v>4.4999999999999998E-2</v>
      </c>
      <c r="AS47" s="1">
        <v>0.14799999999999999</v>
      </c>
      <c r="AT47" s="2">
        <f t="shared" si="21"/>
        <v>-4.8000000000000015E-2</v>
      </c>
      <c r="AU47" s="1">
        <v>0.19500000000000001</v>
      </c>
      <c r="AV47" s="2">
        <f t="shared" si="22"/>
        <v>-3.0000000000000027E-3</v>
      </c>
      <c r="AW47" s="1">
        <v>0.28699999999999998</v>
      </c>
      <c r="AX47" s="2">
        <f t="shared" si="23"/>
        <v>8.0999999999999989E-2</v>
      </c>
      <c r="AY47" s="1">
        <v>0.76500000000000001</v>
      </c>
      <c r="AZ47">
        <f t="shared" si="24"/>
        <v>0.55600000000000005</v>
      </c>
      <c r="BA47" s="1">
        <v>0.877</v>
      </c>
      <c r="BB47">
        <f t="shared" si="25"/>
        <v>0.67100000000000004</v>
      </c>
      <c r="BC47" s="1">
        <v>1.042</v>
      </c>
      <c r="BD47">
        <f t="shared" si="26"/>
        <v>0.82800000000000007</v>
      </c>
      <c r="BE47" s="1">
        <v>1.0820000000000001</v>
      </c>
      <c r="BF47">
        <f t="shared" si="27"/>
        <v>0.8650000000000001</v>
      </c>
      <c r="BG47" s="1">
        <v>1.3759999999999999</v>
      </c>
      <c r="BH47">
        <f t="shared" si="28"/>
        <v>1.1709999999999998</v>
      </c>
      <c r="BI47" s="1">
        <v>1.4219999999999999</v>
      </c>
      <c r="BJ47">
        <f t="shared" si="29"/>
        <v>1.216</v>
      </c>
      <c r="BK47" s="1">
        <v>1.2230000000000001</v>
      </c>
      <c r="BL47">
        <f t="shared" si="30"/>
        <v>1.004</v>
      </c>
      <c r="BM47" s="1">
        <v>1.57</v>
      </c>
      <c r="BN47">
        <f t="shared" si="31"/>
        <v>1.3540000000000001</v>
      </c>
      <c r="BO47" s="1">
        <v>1.601</v>
      </c>
      <c r="BP47">
        <f t="shared" si="32"/>
        <v>1.38</v>
      </c>
      <c r="BQ47">
        <v>1.306</v>
      </c>
      <c r="BR47">
        <f t="shared" si="33"/>
        <v>1.087</v>
      </c>
      <c r="BS47">
        <v>1.7090000000000001</v>
      </c>
      <c r="BT47">
        <f t="shared" si="34"/>
        <v>1.5070000000000001</v>
      </c>
      <c r="BU47">
        <v>1.7210000000000001</v>
      </c>
      <c r="BV47">
        <f t="shared" si="35"/>
        <v>1.4970000000000001</v>
      </c>
      <c r="BW47" s="1">
        <v>0.105</v>
      </c>
      <c r="BX47" s="2">
        <f t="shared" si="36"/>
        <v>-5.4000000000000006E-2</v>
      </c>
      <c r="BY47" s="1">
        <v>0.10299999999999999</v>
      </c>
      <c r="BZ47" s="2">
        <f t="shared" si="37"/>
        <v>-1.0000000000000009E-3</v>
      </c>
      <c r="CA47" s="1">
        <v>0.18099999999999999</v>
      </c>
      <c r="CB47" s="2">
        <f t="shared" si="38"/>
        <v>-0.308</v>
      </c>
      <c r="CC47" s="1">
        <v>0.122</v>
      </c>
      <c r="CD47" s="2">
        <f t="shared" si="39"/>
        <v>-9.2999999999999999E-2</v>
      </c>
      <c r="CE47" s="1">
        <v>0.11700000000000001</v>
      </c>
      <c r="CF47" s="2">
        <f t="shared" si="40"/>
        <v>-6.4999999999999988E-2</v>
      </c>
      <c r="CG47" s="1">
        <v>0.189</v>
      </c>
      <c r="CH47" s="2">
        <f t="shared" si="41"/>
        <v>-2.0000000000000018E-3</v>
      </c>
      <c r="CI47" s="1">
        <v>0.314</v>
      </c>
      <c r="CJ47">
        <f t="shared" si="42"/>
        <v>0.10400000000000001</v>
      </c>
      <c r="CK47" s="1">
        <v>0.46100000000000002</v>
      </c>
      <c r="CL47">
        <f t="shared" si="43"/>
        <v>0.26600000000000001</v>
      </c>
      <c r="CM47" s="1">
        <v>0.11799999999999999</v>
      </c>
      <c r="CN47">
        <f t="shared" si="44"/>
        <v>-8.8999999999999996E-2</v>
      </c>
      <c r="CO47" s="1">
        <v>1.294</v>
      </c>
      <c r="CP47">
        <f t="shared" si="45"/>
        <v>1.077</v>
      </c>
      <c r="CQ47" s="1">
        <v>1.3220000000000001</v>
      </c>
      <c r="CR47">
        <f t="shared" si="46"/>
        <v>1.123</v>
      </c>
      <c r="CS47" s="1">
        <v>0.16500000000000001</v>
      </c>
      <c r="CT47">
        <f t="shared" si="47"/>
        <v>-3.5000000000000003E-2</v>
      </c>
      <c r="CU47" s="1">
        <v>1.476</v>
      </c>
      <c r="CV47">
        <f t="shared" si="48"/>
        <v>1.256</v>
      </c>
      <c r="CW47" s="1">
        <v>1.5009999999999999</v>
      </c>
      <c r="CX47">
        <f t="shared" si="49"/>
        <v>1.2949999999999999</v>
      </c>
      <c r="CY47" s="1">
        <v>1.0649999999999999</v>
      </c>
      <c r="CZ47">
        <f t="shared" si="50"/>
        <v>0.85699999999999998</v>
      </c>
      <c r="DA47">
        <v>1.595</v>
      </c>
      <c r="DB47">
        <f t="shared" si="51"/>
        <v>1.379</v>
      </c>
      <c r="DC47">
        <v>1.6120000000000001</v>
      </c>
      <c r="DD47">
        <f t="shared" si="52"/>
        <v>1.409</v>
      </c>
      <c r="DE47">
        <v>1.3660000000000001</v>
      </c>
      <c r="DF47">
        <f t="shared" si="53"/>
        <v>1.161</v>
      </c>
    </row>
    <row r="48" spans="1:110">
      <c r="A48" t="s">
        <v>147</v>
      </c>
      <c r="B48" t="s">
        <v>148</v>
      </c>
      <c r="C48" s="1">
        <v>0.10100000000000001</v>
      </c>
      <c r="D48" s="1">
        <f t="shared" si="0"/>
        <v>-2.2999999999999993E-2</v>
      </c>
      <c r="E48" s="1">
        <v>0.11</v>
      </c>
      <c r="F48">
        <f t="shared" si="1"/>
        <v>-7.9999999999999932E-3</v>
      </c>
      <c r="G48" s="1">
        <v>0.10199999999999999</v>
      </c>
      <c r="H48">
        <f t="shared" si="2"/>
        <v>-3.2000000000000015E-2</v>
      </c>
      <c r="I48" s="1">
        <v>0.106</v>
      </c>
      <c r="J48">
        <f t="shared" si="3"/>
        <v>-6.5999999999999989E-2</v>
      </c>
      <c r="K48" s="1">
        <v>0.114</v>
      </c>
      <c r="L48">
        <f t="shared" si="4"/>
        <v>-6.1999999999999986E-2</v>
      </c>
      <c r="M48" s="1">
        <v>0.107</v>
      </c>
      <c r="N48">
        <f t="shared" si="5"/>
        <v>-6.0000000000000012E-2</v>
      </c>
      <c r="O48" s="1">
        <v>0.111</v>
      </c>
      <c r="P48">
        <f t="shared" si="6"/>
        <v>-5.6000000000000008E-2</v>
      </c>
      <c r="Q48" s="1">
        <v>0.12</v>
      </c>
      <c r="R48">
        <f t="shared" si="7"/>
        <v>-5.1000000000000018E-2</v>
      </c>
      <c r="S48" s="1">
        <v>0.112</v>
      </c>
      <c r="T48">
        <f t="shared" si="8"/>
        <v>-8.4000000000000005E-2</v>
      </c>
      <c r="U48" s="1">
        <v>0.115</v>
      </c>
      <c r="V48">
        <f t="shared" si="9"/>
        <v>-7.4999999999999997E-2</v>
      </c>
      <c r="W48" s="1">
        <v>0.13200000000000001</v>
      </c>
      <c r="X48">
        <f t="shared" si="10"/>
        <v>-5.1999999999999991E-2</v>
      </c>
      <c r="Y48" s="1">
        <v>0.12</v>
      </c>
      <c r="Z48">
        <f t="shared" si="11"/>
        <v>-0.10700000000000001</v>
      </c>
      <c r="AA48" s="1">
        <v>0.126</v>
      </c>
      <c r="AB48">
        <f t="shared" si="12"/>
        <v>-6.6000000000000003E-2</v>
      </c>
      <c r="AC48" s="1">
        <v>0.14399999999999999</v>
      </c>
      <c r="AD48">
        <f t="shared" si="13"/>
        <v>-3.1E-2</v>
      </c>
      <c r="AE48" s="1">
        <v>0.13100000000000001</v>
      </c>
      <c r="AF48">
        <f t="shared" si="14"/>
        <v>-8.4999999999999992E-2</v>
      </c>
      <c r="AG48">
        <v>0.13</v>
      </c>
      <c r="AH48">
        <f t="shared" si="15"/>
        <v>-3.4000000000000002E-2</v>
      </c>
      <c r="AI48">
        <v>0.154</v>
      </c>
      <c r="AJ48">
        <f t="shared" si="16"/>
        <v>-2.1999999999999992E-2</v>
      </c>
      <c r="AK48">
        <v>0.13900000000000001</v>
      </c>
      <c r="AL48">
        <f t="shared" si="17"/>
        <v>-6.4000000000000001E-2</v>
      </c>
      <c r="AM48" s="1">
        <v>0.106</v>
      </c>
      <c r="AN48" s="2">
        <f t="shared" si="18"/>
        <v>-5.0000000000000044E-3</v>
      </c>
      <c r="AO48" s="1">
        <v>0.105</v>
      </c>
      <c r="AP48" s="2">
        <f t="shared" si="19"/>
        <v>-4.0000000000000036E-3</v>
      </c>
      <c r="AQ48" s="1">
        <v>0.109</v>
      </c>
      <c r="AR48" s="2">
        <f t="shared" si="20"/>
        <v>-3.0000000000000027E-3</v>
      </c>
      <c r="AS48" s="1">
        <v>0.108</v>
      </c>
      <c r="AT48" s="2">
        <f t="shared" si="21"/>
        <v>-8.8000000000000009E-2</v>
      </c>
      <c r="AU48" s="1">
        <v>0.11</v>
      </c>
      <c r="AV48" s="2">
        <f t="shared" si="22"/>
        <v>-8.8000000000000009E-2</v>
      </c>
      <c r="AW48" s="1">
        <v>0.113</v>
      </c>
      <c r="AX48" s="2">
        <f t="shared" si="23"/>
        <v>-9.2999999999999985E-2</v>
      </c>
      <c r="AY48" s="1">
        <v>0.109</v>
      </c>
      <c r="AZ48">
        <f t="shared" si="24"/>
        <v>-9.9999999999999992E-2</v>
      </c>
      <c r="BA48" s="1">
        <v>0.112</v>
      </c>
      <c r="BB48">
        <f t="shared" si="25"/>
        <v>-9.3999999999999986E-2</v>
      </c>
      <c r="BC48" s="1">
        <v>0.11700000000000001</v>
      </c>
      <c r="BD48">
        <f t="shared" si="26"/>
        <v>-9.6999999999999989E-2</v>
      </c>
      <c r="BE48" s="1">
        <v>0.114</v>
      </c>
      <c r="BF48">
        <f t="shared" si="27"/>
        <v>-0.10299999999999999</v>
      </c>
      <c r="BG48" s="1">
        <v>0.113</v>
      </c>
      <c r="BH48">
        <f t="shared" si="28"/>
        <v>-9.1999999999999985E-2</v>
      </c>
      <c r="BI48" s="1">
        <v>0.11600000000000001</v>
      </c>
      <c r="BJ48">
        <f t="shared" si="29"/>
        <v>-8.9999999999999983E-2</v>
      </c>
      <c r="BK48" s="1">
        <v>0.12</v>
      </c>
      <c r="BL48">
        <f t="shared" si="30"/>
        <v>-9.9000000000000005E-2</v>
      </c>
      <c r="BM48" s="1">
        <v>0.11899999999999999</v>
      </c>
      <c r="BN48">
        <f t="shared" si="31"/>
        <v>-9.7000000000000003E-2</v>
      </c>
      <c r="BO48" s="1">
        <v>0.123</v>
      </c>
      <c r="BP48">
        <f t="shared" si="32"/>
        <v>-9.8000000000000004E-2</v>
      </c>
      <c r="BQ48">
        <v>0.128</v>
      </c>
      <c r="BR48">
        <f t="shared" si="33"/>
        <v>-9.0999999999999998E-2</v>
      </c>
      <c r="BS48">
        <v>0.13400000000000001</v>
      </c>
      <c r="BT48">
        <f t="shared" si="34"/>
        <v>-6.8000000000000005E-2</v>
      </c>
      <c r="BU48">
        <v>0.13100000000000001</v>
      </c>
      <c r="BV48">
        <f t="shared" si="35"/>
        <v>-9.2999999999999999E-2</v>
      </c>
      <c r="BW48" s="1">
        <v>0.107</v>
      </c>
      <c r="BX48" s="2">
        <f t="shared" si="36"/>
        <v>-5.2000000000000005E-2</v>
      </c>
      <c r="BY48" s="1">
        <v>0.10199999999999999</v>
      </c>
      <c r="BZ48" s="2">
        <f t="shared" si="37"/>
        <v>-2.0000000000000018E-3</v>
      </c>
      <c r="CA48" s="1">
        <v>0.114</v>
      </c>
      <c r="CB48" s="2">
        <f t="shared" si="38"/>
        <v>-0.375</v>
      </c>
      <c r="CC48" s="1">
        <v>0.112</v>
      </c>
      <c r="CD48" s="2">
        <f t="shared" si="39"/>
        <v>-0.10299999999999999</v>
      </c>
      <c r="CE48" s="1">
        <v>0.107</v>
      </c>
      <c r="CF48" s="2">
        <f t="shared" si="40"/>
        <v>-7.4999999999999997E-2</v>
      </c>
      <c r="CG48" s="1">
        <v>0.14699999999999999</v>
      </c>
      <c r="CH48" s="2">
        <f t="shared" si="41"/>
        <v>-4.4000000000000011E-2</v>
      </c>
      <c r="CI48" s="1">
        <v>0.113</v>
      </c>
      <c r="CJ48">
        <f t="shared" si="42"/>
        <v>-9.6999999999999989E-2</v>
      </c>
      <c r="CK48" s="1">
        <v>0.107</v>
      </c>
      <c r="CL48">
        <f t="shared" si="43"/>
        <v>-8.8000000000000009E-2</v>
      </c>
      <c r="CM48" s="1">
        <v>0.11</v>
      </c>
      <c r="CN48">
        <f t="shared" si="44"/>
        <v>-9.6999999999999989E-2</v>
      </c>
      <c r="CO48" s="1">
        <v>0.11600000000000001</v>
      </c>
      <c r="CP48">
        <f t="shared" si="45"/>
        <v>-0.10099999999999999</v>
      </c>
      <c r="CQ48" s="1">
        <v>0.111</v>
      </c>
      <c r="CR48">
        <f t="shared" si="46"/>
        <v>-8.8000000000000009E-2</v>
      </c>
      <c r="CS48" s="1">
        <v>0.112</v>
      </c>
      <c r="CT48">
        <f t="shared" si="47"/>
        <v>-8.8000000000000009E-2</v>
      </c>
      <c r="CU48" s="1">
        <v>0.11799999999999999</v>
      </c>
      <c r="CV48">
        <f t="shared" si="48"/>
        <v>-0.10200000000000001</v>
      </c>
      <c r="CW48" s="1">
        <v>0.114</v>
      </c>
      <c r="CX48">
        <f t="shared" si="49"/>
        <v>-9.1999999999999985E-2</v>
      </c>
      <c r="CY48" s="1">
        <v>0.114</v>
      </c>
      <c r="CZ48">
        <f t="shared" si="50"/>
        <v>-9.3999999999999986E-2</v>
      </c>
      <c r="DA48">
        <v>0.124</v>
      </c>
      <c r="DB48">
        <f t="shared" si="51"/>
        <v>-9.1999999999999998E-2</v>
      </c>
      <c r="DC48">
        <v>0.11899999999999999</v>
      </c>
      <c r="DD48">
        <f t="shared" si="52"/>
        <v>-8.4000000000000019E-2</v>
      </c>
      <c r="DE48">
        <v>0.125</v>
      </c>
      <c r="DF48">
        <f t="shared" si="53"/>
        <v>-7.9999999999999988E-2</v>
      </c>
    </row>
    <row r="49" spans="1:110">
      <c r="A49" t="s">
        <v>149</v>
      </c>
      <c r="B49" t="s">
        <v>150</v>
      </c>
      <c r="C49" s="1">
        <v>0.11</v>
      </c>
      <c r="D49" s="1">
        <f t="shared" si="0"/>
        <v>-1.3999999999999999E-2</v>
      </c>
      <c r="E49" s="1">
        <v>0.122</v>
      </c>
      <c r="F49">
        <f t="shared" si="1"/>
        <v>4.0000000000000036E-3</v>
      </c>
      <c r="G49" s="1">
        <v>0.126</v>
      </c>
      <c r="H49">
        <f t="shared" si="2"/>
        <v>-8.0000000000000071E-3</v>
      </c>
      <c r="I49" s="1">
        <v>0.214</v>
      </c>
      <c r="J49">
        <f t="shared" si="3"/>
        <v>4.200000000000001E-2</v>
      </c>
      <c r="K49" s="1">
        <v>0.24299999999999999</v>
      </c>
      <c r="L49">
        <f t="shared" si="4"/>
        <v>6.7000000000000004E-2</v>
      </c>
      <c r="M49" s="1">
        <v>0.32700000000000001</v>
      </c>
      <c r="N49">
        <f t="shared" si="5"/>
        <v>0.16</v>
      </c>
      <c r="O49" s="1">
        <v>0.73099999999999998</v>
      </c>
      <c r="P49">
        <f t="shared" si="6"/>
        <v>0.56399999999999995</v>
      </c>
      <c r="Q49" s="1">
        <v>0.29299999999999998</v>
      </c>
      <c r="R49">
        <f t="shared" si="7"/>
        <v>0.12199999999999997</v>
      </c>
      <c r="S49" s="1">
        <v>0.753</v>
      </c>
      <c r="T49">
        <f t="shared" si="8"/>
        <v>0.55699999999999994</v>
      </c>
      <c r="U49" s="1">
        <v>0.76100000000000001</v>
      </c>
      <c r="V49">
        <f t="shared" si="9"/>
        <v>0.57099999999999995</v>
      </c>
      <c r="W49" s="1">
        <v>0.38800000000000001</v>
      </c>
      <c r="X49">
        <f t="shared" si="10"/>
        <v>0.20400000000000001</v>
      </c>
      <c r="Y49" s="1">
        <v>0.70599999999999996</v>
      </c>
      <c r="Z49">
        <f t="shared" si="11"/>
        <v>0.47899999999999998</v>
      </c>
      <c r="AA49" s="1">
        <v>0.73499999999999999</v>
      </c>
      <c r="AB49">
        <f t="shared" si="12"/>
        <v>0.54299999999999993</v>
      </c>
      <c r="AC49" s="1">
        <v>0.378</v>
      </c>
      <c r="AD49">
        <f t="shared" si="13"/>
        <v>0.20300000000000001</v>
      </c>
      <c r="AE49" s="1">
        <v>0.69699999999999995</v>
      </c>
      <c r="AF49">
        <f t="shared" si="14"/>
        <v>0.48099999999999998</v>
      </c>
      <c r="AG49">
        <v>0.71899999999999997</v>
      </c>
      <c r="AH49">
        <f t="shared" si="15"/>
        <v>0.55499999999999994</v>
      </c>
      <c r="AI49">
        <v>0.35199999999999998</v>
      </c>
      <c r="AJ49">
        <f t="shared" si="16"/>
        <v>0.17599999999999999</v>
      </c>
      <c r="AK49">
        <v>0.70299999999999996</v>
      </c>
      <c r="AL49">
        <f t="shared" si="17"/>
        <v>0.49999999999999994</v>
      </c>
      <c r="AM49" s="1">
        <v>0.111</v>
      </c>
      <c r="AN49" s="2">
        <f t="shared" si="18"/>
        <v>0</v>
      </c>
      <c r="AO49" s="1">
        <v>0.105</v>
      </c>
      <c r="AP49" s="2">
        <f t="shared" si="19"/>
        <v>-4.0000000000000036E-3</v>
      </c>
      <c r="AQ49" s="1">
        <v>0.127</v>
      </c>
      <c r="AR49" s="2">
        <f t="shared" si="20"/>
        <v>1.4999999999999999E-2</v>
      </c>
      <c r="AS49" s="1">
        <v>0.48599999999999999</v>
      </c>
      <c r="AT49" s="2">
        <f t="shared" si="21"/>
        <v>0.28999999999999998</v>
      </c>
      <c r="AU49" s="1">
        <v>0.435</v>
      </c>
      <c r="AV49" s="2">
        <f t="shared" si="22"/>
        <v>0.23699999999999999</v>
      </c>
      <c r="AW49" s="1">
        <v>0.47</v>
      </c>
      <c r="AX49" s="2">
        <f t="shared" si="23"/>
        <v>0.26400000000000001</v>
      </c>
      <c r="AY49" s="1">
        <v>0.93400000000000005</v>
      </c>
      <c r="AZ49">
        <f t="shared" si="24"/>
        <v>0.72500000000000009</v>
      </c>
      <c r="BA49" s="1">
        <v>0.90800000000000003</v>
      </c>
      <c r="BB49">
        <f t="shared" si="25"/>
        <v>0.70200000000000007</v>
      </c>
      <c r="BC49" s="1">
        <v>0.78500000000000003</v>
      </c>
      <c r="BD49">
        <f t="shared" si="26"/>
        <v>0.57100000000000006</v>
      </c>
      <c r="BE49" s="1">
        <v>1.0509999999999999</v>
      </c>
      <c r="BF49">
        <f t="shared" si="27"/>
        <v>0.83399999999999996</v>
      </c>
      <c r="BG49" s="1">
        <v>0.97499999999999998</v>
      </c>
      <c r="BH49">
        <f t="shared" si="28"/>
        <v>0.77</v>
      </c>
      <c r="BI49" s="1">
        <v>0.95699999999999996</v>
      </c>
      <c r="BJ49">
        <f t="shared" si="29"/>
        <v>0.751</v>
      </c>
      <c r="BK49" s="1">
        <v>1.06</v>
      </c>
      <c r="BL49">
        <f t="shared" si="30"/>
        <v>0.84100000000000008</v>
      </c>
      <c r="BM49" s="1">
        <v>0.98</v>
      </c>
      <c r="BN49">
        <f t="shared" si="31"/>
        <v>0.76400000000000001</v>
      </c>
      <c r="BO49" s="1">
        <v>0.96499999999999997</v>
      </c>
      <c r="BP49">
        <f t="shared" si="32"/>
        <v>0.74399999999999999</v>
      </c>
      <c r="BQ49">
        <v>1.0640000000000001</v>
      </c>
      <c r="BR49">
        <f t="shared" si="33"/>
        <v>0.84500000000000008</v>
      </c>
      <c r="BS49">
        <v>0.98199999999999998</v>
      </c>
      <c r="BT49">
        <f t="shared" si="34"/>
        <v>0.78</v>
      </c>
      <c r="BU49">
        <v>0.95899999999999996</v>
      </c>
      <c r="BV49">
        <f t="shared" si="35"/>
        <v>0.73499999999999999</v>
      </c>
      <c r="BW49" s="1">
        <v>0.13100000000000001</v>
      </c>
      <c r="BX49" s="2">
        <f t="shared" si="36"/>
        <v>-2.7999999999999997E-2</v>
      </c>
      <c r="BY49" s="1">
        <v>0.107</v>
      </c>
      <c r="BZ49" s="2">
        <f t="shared" si="37"/>
        <v>3.0000000000000027E-3</v>
      </c>
      <c r="CA49" s="1">
        <v>0.11799999999999999</v>
      </c>
      <c r="CB49" s="2">
        <f t="shared" si="38"/>
        <v>-0.371</v>
      </c>
      <c r="CC49" s="1">
        <v>0.22800000000000001</v>
      </c>
      <c r="CD49" s="2">
        <f t="shared" si="39"/>
        <v>1.3000000000000012E-2</v>
      </c>
      <c r="CE49" s="1">
        <v>0.19800000000000001</v>
      </c>
      <c r="CF49" s="2">
        <f t="shared" si="40"/>
        <v>1.6000000000000014E-2</v>
      </c>
      <c r="CG49" s="1">
        <v>0.40300000000000002</v>
      </c>
      <c r="CH49" s="2">
        <f t="shared" si="41"/>
        <v>0.21200000000000002</v>
      </c>
      <c r="CI49" s="1">
        <v>0.29399999999999998</v>
      </c>
      <c r="CJ49">
        <f t="shared" si="42"/>
        <v>8.3999999999999991E-2</v>
      </c>
      <c r="CK49" s="1">
        <v>0.26500000000000001</v>
      </c>
      <c r="CL49">
        <f t="shared" si="43"/>
        <v>7.0000000000000007E-2</v>
      </c>
      <c r="CM49" s="1">
        <v>0.79800000000000004</v>
      </c>
      <c r="CN49">
        <f t="shared" si="44"/>
        <v>0.59100000000000008</v>
      </c>
      <c r="CO49" s="1">
        <v>0.42299999999999999</v>
      </c>
      <c r="CP49">
        <f t="shared" si="45"/>
        <v>0.20599999999999999</v>
      </c>
      <c r="CQ49" s="1">
        <v>0.35</v>
      </c>
      <c r="CR49">
        <f t="shared" si="46"/>
        <v>0.15099999999999997</v>
      </c>
      <c r="CS49" s="1">
        <v>0.98799999999999999</v>
      </c>
      <c r="CT49">
        <f t="shared" si="47"/>
        <v>0.78800000000000003</v>
      </c>
      <c r="CU49" s="1">
        <v>0.45400000000000001</v>
      </c>
      <c r="CV49">
        <f t="shared" si="48"/>
        <v>0.23400000000000001</v>
      </c>
      <c r="CW49" s="1">
        <v>0.38400000000000001</v>
      </c>
      <c r="CX49">
        <f t="shared" si="49"/>
        <v>0.17800000000000002</v>
      </c>
      <c r="CY49" s="1">
        <v>1.0389999999999999</v>
      </c>
      <c r="CZ49">
        <f t="shared" si="50"/>
        <v>0.83099999999999996</v>
      </c>
      <c r="DA49">
        <v>0.46800000000000003</v>
      </c>
      <c r="DB49">
        <f t="shared" si="51"/>
        <v>0.252</v>
      </c>
      <c r="DC49">
        <v>0.39600000000000002</v>
      </c>
      <c r="DD49">
        <f t="shared" si="52"/>
        <v>0.193</v>
      </c>
      <c r="DE49">
        <v>1.046</v>
      </c>
      <c r="DF49">
        <f t="shared" si="53"/>
        <v>0.84100000000000008</v>
      </c>
    </row>
    <row r="50" spans="1:110">
      <c r="A50" t="s">
        <v>151</v>
      </c>
      <c r="B50" t="s">
        <v>152</v>
      </c>
      <c r="C50" s="1">
        <v>9.9000000000000005E-2</v>
      </c>
      <c r="D50" s="1">
        <f t="shared" si="0"/>
        <v>-2.4999999999999994E-2</v>
      </c>
      <c r="E50" s="1">
        <v>0.14199999999999999</v>
      </c>
      <c r="F50">
        <f t="shared" si="1"/>
        <v>2.3999999999999994E-2</v>
      </c>
      <c r="G50" s="1">
        <v>0.151</v>
      </c>
      <c r="H50">
        <f t="shared" si="2"/>
        <v>1.6999999999999987E-2</v>
      </c>
      <c r="I50" s="1">
        <v>0.35599999999999998</v>
      </c>
      <c r="J50">
        <f t="shared" si="3"/>
        <v>0.184</v>
      </c>
      <c r="K50" s="1">
        <v>0.5</v>
      </c>
      <c r="L50">
        <f t="shared" si="4"/>
        <v>0.32400000000000001</v>
      </c>
      <c r="M50" s="1">
        <v>0.42299999999999999</v>
      </c>
      <c r="N50">
        <f t="shared" si="5"/>
        <v>0.25600000000000001</v>
      </c>
      <c r="O50" s="1">
        <v>0.77</v>
      </c>
      <c r="P50">
        <f t="shared" si="6"/>
        <v>0.60299999999999998</v>
      </c>
      <c r="Q50" s="1">
        <v>1.026</v>
      </c>
      <c r="R50">
        <f t="shared" si="7"/>
        <v>0.85499999999999998</v>
      </c>
      <c r="S50" s="1">
        <v>0.93</v>
      </c>
      <c r="T50">
        <f t="shared" si="8"/>
        <v>0.73399999999999999</v>
      </c>
      <c r="U50" s="1">
        <v>1.29</v>
      </c>
      <c r="V50">
        <f t="shared" si="9"/>
        <v>1.1000000000000001</v>
      </c>
      <c r="W50" s="1">
        <v>1.3680000000000001</v>
      </c>
      <c r="X50">
        <f t="shared" si="10"/>
        <v>1.1840000000000002</v>
      </c>
      <c r="Y50" s="1">
        <v>1.1859999999999999</v>
      </c>
      <c r="Z50">
        <f t="shared" si="11"/>
        <v>0.95899999999999996</v>
      </c>
      <c r="AA50" s="1">
        <v>1.464</v>
      </c>
      <c r="AB50">
        <f t="shared" si="12"/>
        <v>1.272</v>
      </c>
      <c r="AC50" s="1">
        <v>1.4750000000000001</v>
      </c>
      <c r="AD50">
        <f t="shared" si="13"/>
        <v>1.3</v>
      </c>
      <c r="AE50" s="1">
        <v>1.1679999999999999</v>
      </c>
      <c r="AF50">
        <f t="shared" si="14"/>
        <v>0.95199999999999996</v>
      </c>
      <c r="AG50">
        <v>1.452</v>
      </c>
      <c r="AH50">
        <f t="shared" si="15"/>
        <v>1.288</v>
      </c>
      <c r="AI50">
        <v>1.5529999999999999</v>
      </c>
      <c r="AJ50">
        <f t="shared" si="16"/>
        <v>1.377</v>
      </c>
      <c r="AK50">
        <v>1.3560000000000001</v>
      </c>
      <c r="AL50">
        <f t="shared" si="17"/>
        <v>1.153</v>
      </c>
      <c r="AM50" s="1">
        <v>0.122</v>
      </c>
      <c r="AN50" s="2">
        <f t="shared" si="18"/>
        <v>1.0999999999999996E-2</v>
      </c>
      <c r="AO50" s="1">
        <v>0.112</v>
      </c>
      <c r="AP50" s="2">
        <f t="shared" si="19"/>
        <v>3.0000000000000027E-3</v>
      </c>
      <c r="AQ50" s="1">
        <v>0.19800000000000001</v>
      </c>
      <c r="AR50" s="2">
        <f t="shared" si="20"/>
        <v>8.6000000000000007E-2</v>
      </c>
      <c r="AS50" s="1">
        <v>0.68</v>
      </c>
      <c r="AT50" s="2">
        <f t="shared" si="21"/>
        <v>0.48400000000000004</v>
      </c>
      <c r="AU50" s="1">
        <v>0.68799999999999994</v>
      </c>
      <c r="AV50" s="2">
        <f t="shared" si="22"/>
        <v>0.48999999999999994</v>
      </c>
      <c r="AW50" s="1">
        <v>0.71199999999999997</v>
      </c>
      <c r="AX50" s="2">
        <f t="shared" si="23"/>
        <v>0.50600000000000001</v>
      </c>
      <c r="AY50" s="1">
        <v>1.0089999999999999</v>
      </c>
      <c r="AZ50">
        <f t="shared" si="24"/>
        <v>0.79999999999999993</v>
      </c>
      <c r="BA50" s="1">
        <v>0.997</v>
      </c>
      <c r="BB50">
        <f t="shared" si="25"/>
        <v>0.79100000000000004</v>
      </c>
      <c r="BC50" s="1">
        <v>0.96399999999999997</v>
      </c>
      <c r="BD50">
        <f t="shared" si="26"/>
        <v>0.75</v>
      </c>
      <c r="BE50" s="1">
        <v>1.141</v>
      </c>
      <c r="BF50">
        <f t="shared" si="27"/>
        <v>0.92400000000000004</v>
      </c>
      <c r="BG50" s="1">
        <v>1.1279999999999999</v>
      </c>
      <c r="BH50">
        <f t="shared" si="28"/>
        <v>0.92299999999999993</v>
      </c>
      <c r="BI50" s="1">
        <v>1.105</v>
      </c>
      <c r="BJ50">
        <f t="shared" si="29"/>
        <v>0.89900000000000002</v>
      </c>
      <c r="BK50" s="1">
        <v>1.2470000000000001</v>
      </c>
      <c r="BL50">
        <f t="shared" si="30"/>
        <v>1.028</v>
      </c>
      <c r="BM50" s="1">
        <v>1.218</v>
      </c>
      <c r="BN50">
        <f t="shared" si="31"/>
        <v>1.002</v>
      </c>
      <c r="BO50" s="1">
        <v>1.1970000000000001</v>
      </c>
      <c r="BP50">
        <f t="shared" si="32"/>
        <v>0.97600000000000009</v>
      </c>
      <c r="BQ50">
        <v>1.304</v>
      </c>
      <c r="BR50">
        <f t="shared" si="33"/>
        <v>1.085</v>
      </c>
      <c r="BS50">
        <v>1.282</v>
      </c>
      <c r="BT50">
        <f t="shared" si="34"/>
        <v>1.08</v>
      </c>
      <c r="BU50">
        <v>1.272</v>
      </c>
      <c r="BV50">
        <f t="shared" si="35"/>
        <v>1.048</v>
      </c>
      <c r="BW50" s="1">
        <v>0.13200000000000001</v>
      </c>
      <c r="BX50" s="2">
        <f t="shared" si="36"/>
        <v>-2.6999999999999996E-2</v>
      </c>
      <c r="BY50" s="1">
        <v>0.10100000000000001</v>
      </c>
      <c r="BZ50" s="2">
        <f t="shared" si="37"/>
        <v>-2.9999999999999888E-3</v>
      </c>
      <c r="CA50" s="1">
        <v>0.192</v>
      </c>
      <c r="CB50" s="2">
        <f t="shared" si="38"/>
        <v>-0.29699999999999999</v>
      </c>
      <c r="CC50" s="1">
        <v>0.66</v>
      </c>
      <c r="CD50" s="2">
        <f t="shared" si="39"/>
        <v>0.44500000000000006</v>
      </c>
      <c r="CE50" s="1">
        <v>0.56999999999999995</v>
      </c>
      <c r="CF50" s="2">
        <f t="shared" si="40"/>
        <v>0.38799999999999996</v>
      </c>
      <c r="CG50" s="1">
        <v>0.54200000000000004</v>
      </c>
      <c r="CH50" s="2">
        <f t="shared" si="41"/>
        <v>0.35100000000000003</v>
      </c>
      <c r="CI50" s="1">
        <v>1.0309999999999999</v>
      </c>
      <c r="CJ50">
        <f t="shared" si="42"/>
        <v>0.82099999999999995</v>
      </c>
      <c r="CK50" s="1">
        <v>0.98199999999999998</v>
      </c>
      <c r="CL50">
        <f t="shared" si="43"/>
        <v>0.78699999999999992</v>
      </c>
      <c r="CM50" s="1">
        <v>0.97799999999999998</v>
      </c>
      <c r="CN50">
        <f t="shared" si="44"/>
        <v>0.77100000000000002</v>
      </c>
      <c r="CO50" s="1">
        <v>1.1160000000000001</v>
      </c>
      <c r="CP50">
        <f t="shared" si="45"/>
        <v>0.89900000000000013</v>
      </c>
      <c r="CQ50" s="1">
        <v>1.0780000000000001</v>
      </c>
      <c r="CR50">
        <f t="shared" si="46"/>
        <v>0.879</v>
      </c>
      <c r="CS50" s="1">
        <v>1.0980000000000001</v>
      </c>
      <c r="CT50">
        <f t="shared" si="47"/>
        <v>0.89800000000000013</v>
      </c>
      <c r="CU50" s="1">
        <v>1.2110000000000001</v>
      </c>
      <c r="CV50">
        <f t="shared" si="48"/>
        <v>0.9910000000000001</v>
      </c>
      <c r="CW50" s="1">
        <v>1.1819999999999999</v>
      </c>
      <c r="CX50">
        <f t="shared" si="49"/>
        <v>0.97599999999999998</v>
      </c>
      <c r="CY50" s="1">
        <v>1.1839999999999999</v>
      </c>
      <c r="CZ50">
        <f t="shared" si="50"/>
        <v>0.97599999999999998</v>
      </c>
      <c r="DA50">
        <v>1.2829999999999999</v>
      </c>
      <c r="DB50">
        <f t="shared" si="51"/>
        <v>1.0669999999999999</v>
      </c>
      <c r="DC50">
        <v>1.2410000000000001</v>
      </c>
      <c r="DD50">
        <f t="shared" si="52"/>
        <v>1.038</v>
      </c>
      <c r="DE50">
        <v>1.2989999999999999</v>
      </c>
      <c r="DF50">
        <f t="shared" si="53"/>
        <v>1.0939999999999999</v>
      </c>
    </row>
    <row r="51" spans="1:110">
      <c r="A51" t="s">
        <v>153</v>
      </c>
      <c r="B51" t="s">
        <v>154</v>
      </c>
      <c r="C51" s="1">
        <v>9.9000000000000005E-2</v>
      </c>
      <c r="D51" s="1">
        <f t="shared" si="0"/>
        <v>-2.4999999999999994E-2</v>
      </c>
      <c r="E51" s="1">
        <v>0.19</v>
      </c>
      <c r="F51">
        <f t="shared" si="1"/>
        <v>7.2000000000000008E-2</v>
      </c>
      <c r="G51" s="1">
        <v>0.14000000000000001</v>
      </c>
      <c r="H51">
        <f t="shared" si="2"/>
        <v>6.0000000000000053E-3</v>
      </c>
      <c r="I51" s="1">
        <v>0.373</v>
      </c>
      <c r="J51">
        <f t="shared" si="3"/>
        <v>0.20100000000000001</v>
      </c>
      <c r="K51" s="1">
        <v>0.42299999999999999</v>
      </c>
      <c r="L51">
        <f t="shared" si="4"/>
        <v>0.247</v>
      </c>
      <c r="M51" s="1">
        <v>0.38700000000000001</v>
      </c>
      <c r="N51">
        <f t="shared" si="5"/>
        <v>0.22</v>
      </c>
      <c r="O51" s="1">
        <v>0.51</v>
      </c>
      <c r="P51">
        <f t="shared" si="6"/>
        <v>0.34299999999999997</v>
      </c>
      <c r="Q51" s="1">
        <v>0.58799999999999997</v>
      </c>
      <c r="R51">
        <f t="shared" si="7"/>
        <v>0.41699999999999993</v>
      </c>
      <c r="S51" s="1">
        <v>0.55200000000000005</v>
      </c>
      <c r="T51">
        <f t="shared" si="8"/>
        <v>0.35600000000000004</v>
      </c>
      <c r="U51" s="1">
        <v>0.58099999999999996</v>
      </c>
      <c r="V51">
        <f t="shared" si="9"/>
        <v>0.39099999999999996</v>
      </c>
      <c r="W51" s="1">
        <v>0.65800000000000003</v>
      </c>
      <c r="X51">
        <f t="shared" si="10"/>
        <v>0.47400000000000003</v>
      </c>
      <c r="Y51" s="1">
        <v>0.63600000000000001</v>
      </c>
      <c r="Z51">
        <f t="shared" si="11"/>
        <v>0.40900000000000003</v>
      </c>
      <c r="AA51" s="1">
        <v>0.629</v>
      </c>
      <c r="AB51">
        <f t="shared" si="12"/>
        <v>0.437</v>
      </c>
      <c r="AC51" s="1">
        <v>0.71099999999999997</v>
      </c>
      <c r="AD51">
        <f t="shared" si="13"/>
        <v>0.53600000000000003</v>
      </c>
      <c r="AE51" s="1">
        <v>0.71299999999999997</v>
      </c>
      <c r="AF51">
        <f t="shared" si="14"/>
        <v>0.497</v>
      </c>
      <c r="AG51">
        <v>0.66100000000000003</v>
      </c>
      <c r="AH51">
        <f t="shared" si="15"/>
        <v>0.497</v>
      </c>
      <c r="AI51">
        <v>0.73</v>
      </c>
      <c r="AJ51">
        <f t="shared" si="16"/>
        <v>0.55400000000000005</v>
      </c>
      <c r="AK51">
        <v>0.745</v>
      </c>
      <c r="AL51">
        <f t="shared" si="17"/>
        <v>0.54200000000000004</v>
      </c>
      <c r="AM51" s="1">
        <v>0.122</v>
      </c>
      <c r="AN51" s="2">
        <f t="shared" si="18"/>
        <v>1.0999999999999996E-2</v>
      </c>
      <c r="AO51" s="1">
        <v>0.12</v>
      </c>
      <c r="AP51" s="2">
        <f t="shared" si="19"/>
        <v>1.0999999999999996E-2</v>
      </c>
      <c r="AQ51" s="1">
        <v>0.216</v>
      </c>
      <c r="AR51" s="2">
        <f t="shared" si="20"/>
        <v>0.104</v>
      </c>
      <c r="AS51" s="1">
        <v>0.60399999999999998</v>
      </c>
      <c r="AT51" s="2">
        <f t="shared" si="21"/>
        <v>0.40799999999999997</v>
      </c>
      <c r="AU51" s="1">
        <v>0.623</v>
      </c>
      <c r="AV51" s="2">
        <f t="shared" si="22"/>
        <v>0.42499999999999999</v>
      </c>
      <c r="AW51" s="1">
        <v>0.63400000000000001</v>
      </c>
      <c r="AX51" s="2">
        <f t="shared" si="23"/>
        <v>0.42800000000000005</v>
      </c>
      <c r="AY51" s="1">
        <v>0.91100000000000003</v>
      </c>
      <c r="AZ51">
        <f t="shared" si="24"/>
        <v>0.70200000000000007</v>
      </c>
      <c r="BA51" s="1">
        <v>0.92</v>
      </c>
      <c r="BB51">
        <f t="shared" si="25"/>
        <v>0.71400000000000008</v>
      </c>
      <c r="BC51" s="1">
        <v>0.92900000000000005</v>
      </c>
      <c r="BD51">
        <f t="shared" si="26"/>
        <v>0.71500000000000008</v>
      </c>
      <c r="BE51" s="1">
        <v>0.96899999999999997</v>
      </c>
      <c r="BF51">
        <f t="shared" si="27"/>
        <v>0.752</v>
      </c>
      <c r="BG51" s="1">
        <v>0.94599999999999995</v>
      </c>
      <c r="BH51">
        <f t="shared" si="28"/>
        <v>0.74099999999999999</v>
      </c>
      <c r="BI51" s="1">
        <v>0.96099999999999997</v>
      </c>
      <c r="BJ51">
        <f t="shared" si="29"/>
        <v>0.755</v>
      </c>
      <c r="BK51" s="1">
        <v>1.002</v>
      </c>
      <c r="BL51">
        <f t="shared" si="30"/>
        <v>0.78300000000000003</v>
      </c>
      <c r="BM51" s="1">
        <v>1</v>
      </c>
      <c r="BN51">
        <f t="shared" si="31"/>
        <v>0.78400000000000003</v>
      </c>
      <c r="BO51" s="1">
        <v>0.99</v>
      </c>
      <c r="BP51">
        <f t="shared" si="32"/>
        <v>0.76900000000000002</v>
      </c>
      <c r="BQ51">
        <v>1.06</v>
      </c>
      <c r="BR51">
        <f t="shared" si="33"/>
        <v>0.84100000000000008</v>
      </c>
      <c r="BS51">
        <v>1.05</v>
      </c>
      <c r="BT51">
        <f t="shared" si="34"/>
        <v>0.84800000000000009</v>
      </c>
      <c r="BU51">
        <v>1.0549999999999999</v>
      </c>
      <c r="BV51">
        <f t="shared" si="35"/>
        <v>0.83099999999999996</v>
      </c>
      <c r="BW51" s="1">
        <v>0.108</v>
      </c>
      <c r="BX51" s="2">
        <f t="shared" si="36"/>
        <v>-5.1000000000000004E-2</v>
      </c>
      <c r="BY51" s="1">
        <v>0.107</v>
      </c>
      <c r="BZ51" s="2">
        <f t="shared" si="37"/>
        <v>3.0000000000000027E-3</v>
      </c>
      <c r="CA51" s="1">
        <v>0.16500000000000001</v>
      </c>
      <c r="CB51" s="2">
        <f t="shared" si="38"/>
        <v>-0.32399999999999995</v>
      </c>
      <c r="CC51" s="1">
        <v>0.54400000000000004</v>
      </c>
      <c r="CD51" s="2">
        <f t="shared" si="39"/>
        <v>0.32900000000000007</v>
      </c>
      <c r="CE51" s="1">
        <v>0.52700000000000002</v>
      </c>
      <c r="CF51" s="2">
        <f t="shared" si="40"/>
        <v>0.34500000000000003</v>
      </c>
      <c r="CG51" s="1">
        <v>0.55500000000000005</v>
      </c>
      <c r="CH51" s="2">
        <f t="shared" si="41"/>
        <v>0.36400000000000005</v>
      </c>
      <c r="CI51" s="1">
        <v>0.90200000000000002</v>
      </c>
      <c r="CJ51">
        <f t="shared" si="42"/>
        <v>0.69200000000000006</v>
      </c>
      <c r="CK51" s="1">
        <v>0.91200000000000003</v>
      </c>
      <c r="CL51">
        <f t="shared" si="43"/>
        <v>0.71700000000000008</v>
      </c>
      <c r="CM51" s="1">
        <v>0.92700000000000005</v>
      </c>
      <c r="CN51">
        <f t="shared" si="44"/>
        <v>0.72000000000000008</v>
      </c>
      <c r="CO51" s="1">
        <v>0.93700000000000006</v>
      </c>
      <c r="CP51">
        <f t="shared" si="45"/>
        <v>0.72000000000000008</v>
      </c>
      <c r="CQ51" s="1">
        <v>0.93600000000000005</v>
      </c>
      <c r="CR51">
        <f t="shared" si="46"/>
        <v>0.7370000000000001</v>
      </c>
      <c r="CS51" s="1">
        <v>0.95799999999999996</v>
      </c>
      <c r="CT51">
        <f t="shared" si="47"/>
        <v>0.75800000000000001</v>
      </c>
      <c r="CU51" s="1">
        <v>0.98199999999999998</v>
      </c>
      <c r="CV51">
        <f t="shared" si="48"/>
        <v>0.76200000000000001</v>
      </c>
      <c r="CW51" s="1">
        <v>0.998</v>
      </c>
      <c r="CX51">
        <f t="shared" si="49"/>
        <v>0.79200000000000004</v>
      </c>
      <c r="CY51" s="1">
        <v>0.996</v>
      </c>
      <c r="CZ51">
        <f t="shared" si="50"/>
        <v>0.78800000000000003</v>
      </c>
      <c r="DA51">
        <v>1.05</v>
      </c>
      <c r="DB51">
        <f t="shared" si="51"/>
        <v>0.83400000000000007</v>
      </c>
      <c r="DC51">
        <v>1.03</v>
      </c>
      <c r="DD51">
        <f t="shared" si="52"/>
        <v>0.82699999999999996</v>
      </c>
      <c r="DE51">
        <v>1.091</v>
      </c>
      <c r="DF51">
        <f t="shared" si="53"/>
        <v>0.88600000000000001</v>
      </c>
    </row>
    <row r="52" spans="1:110">
      <c r="A52" t="s">
        <v>155</v>
      </c>
      <c r="B52" t="s">
        <v>156</v>
      </c>
      <c r="C52" s="1">
        <v>0.10299999999999999</v>
      </c>
      <c r="D52" s="1">
        <f t="shared" si="0"/>
        <v>-2.1000000000000005E-2</v>
      </c>
      <c r="E52" s="1">
        <v>0.17899999999999999</v>
      </c>
      <c r="F52">
        <f t="shared" si="1"/>
        <v>6.0999999999999999E-2</v>
      </c>
      <c r="G52" s="1">
        <v>0.13200000000000001</v>
      </c>
      <c r="H52">
        <f t="shared" si="2"/>
        <v>-2.0000000000000018E-3</v>
      </c>
      <c r="I52" s="1">
        <v>0.28000000000000003</v>
      </c>
      <c r="J52">
        <f t="shared" si="3"/>
        <v>0.10800000000000004</v>
      </c>
      <c r="K52" s="1">
        <v>0.379</v>
      </c>
      <c r="L52">
        <f t="shared" si="4"/>
        <v>0.20300000000000001</v>
      </c>
      <c r="M52" s="1">
        <v>0.31</v>
      </c>
      <c r="N52">
        <f t="shared" si="5"/>
        <v>0.14299999999999999</v>
      </c>
      <c r="O52" s="1">
        <v>0.41099999999999998</v>
      </c>
      <c r="P52">
        <f t="shared" si="6"/>
        <v>0.24399999999999997</v>
      </c>
      <c r="Q52" s="1">
        <v>0.47099999999999997</v>
      </c>
      <c r="R52">
        <f t="shared" si="7"/>
        <v>0.29999999999999993</v>
      </c>
      <c r="S52" s="1">
        <v>0.35199999999999998</v>
      </c>
      <c r="T52">
        <f t="shared" si="8"/>
        <v>0.15599999999999997</v>
      </c>
      <c r="U52" s="1">
        <v>0.63400000000000001</v>
      </c>
      <c r="V52">
        <f t="shared" si="9"/>
        <v>0.44400000000000001</v>
      </c>
      <c r="W52" s="1">
        <v>0.83399999999999996</v>
      </c>
      <c r="X52">
        <f t="shared" si="10"/>
        <v>0.64999999999999991</v>
      </c>
      <c r="Y52" s="1">
        <v>0.55300000000000005</v>
      </c>
      <c r="Z52">
        <f t="shared" si="11"/>
        <v>0.32600000000000007</v>
      </c>
      <c r="AA52" s="1">
        <v>0.86699999999999999</v>
      </c>
      <c r="AB52">
        <f t="shared" si="12"/>
        <v>0.67500000000000004</v>
      </c>
      <c r="AC52" s="1">
        <v>1.129</v>
      </c>
      <c r="AD52">
        <f t="shared" si="13"/>
        <v>0.95399999999999996</v>
      </c>
      <c r="AE52" s="1">
        <v>0.98299999999999998</v>
      </c>
      <c r="AF52">
        <f t="shared" si="14"/>
        <v>0.76700000000000002</v>
      </c>
      <c r="AG52">
        <v>0.92300000000000004</v>
      </c>
      <c r="AH52">
        <f t="shared" si="15"/>
        <v>0.75900000000000001</v>
      </c>
      <c r="AI52">
        <v>1.099</v>
      </c>
      <c r="AJ52">
        <f t="shared" si="16"/>
        <v>0.92300000000000004</v>
      </c>
      <c r="AK52">
        <v>0.90500000000000003</v>
      </c>
      <c r="AL52">
        <f t="shared" si="17"/>
        <v>0.70199999999999996</v>
      </c>
      <c r="AM52" s="1">
        <v>0.114</v>
      </c>
      <c r="AN52" s="2">
        <f t="shared" si="18"/>
        <v>3.0000000000000027E-3</v>
      </c>
      <c r="AO52" s="1">
        <v>0.106</v>
      </c>
      <c r="AP52" s="2">
        <f t="shared" si="19"/>
        <v>-3.0000000000000027E-3</v>
      </c>
      <c r="AQ52" s="1">
        <v>0.17799999999999999</v>
      </c>
      <c r="AR52" s="2">
        <f t="shared" si="20"/>
        <v>6.5999999999999989E-2</v>
      </c>
      <c r="AS52" s="1">
        <v>0.48299999999999998</v>
      </c>
      <c r="AT52" s="2">
        <f t="shared" si="21"/>
        <v>0.28699999999999998</v>
      </c>
      <c r="AU52" s="1">
        <v>0.53200000000000003</v>
      </c>
      <c r="AV52" s="2">
        <f t="shared" si="22"/>
        <v>0.33400000000000002</v>
      </c>
      <c r="AW52" s="1">
        <v>0.54500000000000004</v>
      </c>
      <c r="AX52" s="2">
        <f t="shared" si="23"/>
        <v>0.33900000000000008</v>
      </c>
      <c r="AY52" s="1">
        <v>0.79900000000000004</v>
      </c>
      <c r="AZ52">
        <f t="shared" si="24"/>
        <v>0.59000000000000008</v>
      </c>
      <c r="BA52" s="1">
        <v>0.82199999999999995</v>
      </c>
      <c r="BB52">
        <f t="shared" si="25"/>
        <v>0.61599999999999999</v>
      </c>
      <c r="BC52" s="1">
        <v>0.77800000000000002</v>
      </c>
      <c r="BD52">
        <f t="shared" si="26"/>
        <v>0.56400000000000006</v>
      </c>
      <c r="BE52" s="1">
        <v>0.96899999999999997</v>
      </c>
      <c r="BF52">
        <f t="shared" si="27"/>
        <v>0.752</v>
      </c>
      <c r="BG52" s="1">
        <v>0.94899999999999995</v>
      </c>
      <c r="BH52">
        <f t="shared" si="28"/>
        <v>0.74399999999999999</v>
      </c>
      <c r="BI52" s="1">
        <v>0.93799999999999994</v>
      </c>
      <c r="BJ52">
        <f t="shared" si="29"/>
        <v>0.73199999999999998</v>
      </c>
      <c r="BK52" s="1">
        <v>1.0069999999999999</v>
      </c>
      <c r="BL52">
        <f t="shared" si="30"/>
        <v>0.78799999999999992</v>
      </c>
      <c r="BM52" s="1">
        <v>0.95699999999999996</v>
      </c>
      <c r="BN52">
        <f t="shared" si="31"/>
        <v>0.74099999999999999</v>
      </c>
      <c r="BO52" s="1">
        <v>0.92600000000000005</v>
      </c>
      <c r="BP52">
        <f t="shared" si="32"/>
        <v>0.70500000000000007</v>
      </c>
      <c r="BQ52">
        <v>1.173</v>
      </c>
      <c r="BR52">
        <f t="shared" si="33"/>
        <v>0.95400000000000007</v>
      </c>
      <c r="BS52">
        <v>0.999</v>
      </c>
      <c r="BT52">
        <f t="shared" si="34"/>
        <v>0.79699999999999993</v>
      </c>
      <c r="BU52">
        <v>0.996</v>
      </c>
      <c r="BV52">
        <f t="shared" si="35"/>
        <v>0.77200000000000002</v>
      </c>
      <c r="BW52" s="1">
        <v>0.105</v>
      </c>
      <c r="BX52" s="2">
        <f t="shared" si="36"/>
        <v>-5.4000000000000006E-2</v>
      </c>
      <c r="BY52" s="1">
        <v>0.10100000000000001</v>
      </c>
      <c r="BZ52" s="2">
        <f t="shared" si="37"/>
        <v>-2.9999999999999888E-3</v>
      </c>
      <c r="CA52" s="1">
        <v>0.182</v>
      </c>
      <c r="CB52" s="2">
        <f t="shared" si="38"/>
        <v>-0.307</v>
      </c>
      <c r="CC52" s="1">
        <v>0.54500000000000004</v>
      </c>
      <c r="CD52" s="2">
        <f t="shared" si="39"/>
        <v>0.33000000000000007</v>
      </c>
      <c r="CE52" s="1">
        <v>0.48699999999999999</v>
      </c>
      <c r="CF52" s="2">
        <f t="shared" si="40"/>
        <v>0.30499999999999999</v>
      </c>
      <c r="CG52" s="1">
        <v>0.53800000000000003</v>
      </c>
      <c r="CH52" s="2">
        <f t="shared" si="41"/>
        <v>0.34700000000000003</v>
      </c>
      <c r="CI52" s="1">
        <v>0.82</v>
      </c>
      <c r="CJ52">
        <f t="shared" si="42"/>
        <v>0.61</v>
      </c>
      <c r="CK52" s="1">
        <v>0.77900000000000003</v>
      </c>
      <c r="CL52">
        <f t="shared" si="43"/>
        <v>0.58400000000000007</v>
      </c>
      <c r="CM52" s="1">
        <v>0.83299999999999996</v>
      </c>
      <c r="CN52">
        <f t="shared" si="44"/>
        <v>0.626</v>
      </c>
      <c r="CO52" s="1">
        <v>0.96</v>
      </c>
      <c r="CP52">
        <f t="shared" si="45"/>
        <v>0.74299999999999999</v>
      </c>
      <c r="CQ52" s="1">
        <v>0.93300000000000005</v>
      </c>
      <c r="CR52">
        <f t="shared" si="46"/>
        <v>0.73399999999999999</v>
      </c>
      <c r="CS52" s="1">
        <v>0.94199999999999995</v>
      </c>
      <c r="CT52">
        <f t="shared" si="47"/>
        <v>0.74199999999999999</v>
      </c>
      <c r="CU52" s="1">
        <v>0.98599999999999999</v>
      </c>
      <c r="CV52">
        <f t="shared" si="48"/>
        <v>0.76600000000000001</v>
      </c>
      <c r="CW52" s="1">
        <v>0.97799999999999998</v>
      </c>
      <c r="CX52">
        <f t="shared" si="49"/>
        <v>0.77200000000000002</v>
      </c>
      <c r="CY52" s="1">
        <v>0.97799999999999998</v>
      </c>
      <c r="CZ52">
        <f t="shared" si="50"/>
        <v>0.77</v>
      </c>
      <c r="DA52">
        <v>1.0369999999999999</v>
      </c>
      <c r="DB52">
        <f t="shared" si="51"/>
        <v>0.82099999999999995</v>
      </c>
      <c r="DC52">
        <v>1.016</v>
      </c>
      <c r="DD52">
        <f t="shared" si="52"/>
        <v>0.81299999999999994</v>
      </c>
      <c r="DE52">
        <v>1.0269999999999999</v>
      </c>
      <c r="DF52">
        <f t="shared" si="53"/>
        <v>0.82199999999999995</v>
      </c>
    </row>
    <row r="53" spans="1:110">
      <c r="A53" t="s">
        <v>157</v>
      </c>
      <c r="B53" t="s">
        <v>158</v>
      </c>
      <c r="C53" s="1">
        <v>0.125</v>
      </c>
      <c r="D53" s="1">
        <f t="shared" si="0"/>
        <v>1.0000000000000009E-3</v>
      </c>
      <c r="E53" s="1">
        <v>0.221</v>
      </c>
      <c r="F53">
        <f t="shared" si="1"/>
        <v>0.10300000000000001</v>
      </c>
      <c r="G53" s="1">
        <v>0.123</v>
      </c>
      <c r="H53">
        <f t="shared" si="2"/>
        <v>-1.100000000000001E-2</v>
      </c>
      <c r="I53" s="1">
        <v>0.54900000000000004</v>
      </c>
      <c r="J53">
        <f t="shared" si="3"/>
        <v>0.37700000000000006</v>
      </c>
      <c r="K53" s="1">
        <v>0.7</v>
      </c>
      <c r="L53">
        <f t="shared" si="4"/>
        <v>0.52400000000000002</v>
      </c>
      <c r="M53" s="1">
        <v>0.55500000000000005</v>
      </c>
      <c r="N53">
        <f t="shared" si="5"/>
        <v>0.38800000000000001</v>
      </c>
      <c r="O53" s="1">
        <v>1.34</v>
      </c>
      <c r="P53">
        <f t="shared" si="6"/>
        <v>1.173</v>
      </c>
      <c r="Q53" s="1">
        <v>1.3779999999999999</v>
      </c>
      <c r="R53">
        <f t="shared" si="7"/>
        <v>1.2069999999999999</v>
      </c>
      <c r="S53" s="1">
        <v>1.262</v>
      </c>
      <c r="T53">
        <f t="shared" si="8"/>
        <v>1.0660000000000001</v>
      </c>
      <c r="U53" s="1">
        <v>1.2390000000000001</v>
      </c>
      <c r="V53">
        <f t="shared" si="9"/>
        <v>1.0490000000000002</v>
      </c>
      <c r="W53" s="1">
        <v>1.244</v>
      </c>
      <c r="X53">
        <f t="shared" si="10"/>
        <v>1.06</v>
      </c>
      <c r="Y53" s="1">
        <v>1.196</v>
      </c>
      <c r="Z53">
        <f t="shared" si="11"/>
        <v>0.96899999999999997</v>
      </c>
      <c r="AA53" s="1">
        <v>1.099</v>
      </c>
      <c r="AB53">
        <f t="shared" si="12"/>
        <v>0.90700000000000003</v>
      </c>
      <c r="AC53" s="1">
        <v>1.19</v>
      </c>
      <c r="AD53">
        <f t="shared" si="13"/>
        <v>1.0149999999999999</v>
      </c>
      <c r="AE53" s="1">
        <v>1.1100000000000001</v>
      </c>
      <c r="AF53">
        <f t="shared" si="14"/>
        <v>0.89400000000000013</v>
      </c>
      <c r="AG53">
        <v>1.0569999999999999</v>
      </c>
      <c r="AH53">
        <f t="shared" si="15"/>
        <v>0.8929999999999999</v>
      </c>
      <c r="AI53">
        <v>1.1639999999999999</v>
      </c>
      <c r="AJ53">
        <f t="shared" si="16"/>
        <v>0.98799999999999999</v>
      </c>
      <c r="AK53">
        <v>1.0900000000000001</v>
      </c>
      <c r="AL53">
        <f t="shared" si="17"/>
        <v>0.88700000000000001</v>
      </c>
      <c r="AM53" s="1">
        <v>0.114</v>
      </c>
      <c r="AN53" s="2">
        <f t="shared" si="18"/>
        <v>3.0000000000000027E-3</v>
      </c>
      <c r="AO53" s="1">
        <v>0.112</v>
      </c>
      <c r="AP53" s="2">
        <f t="shared" si="19"/>
        <v>3.0000000000000027E-3</v>
      </c>
      <c r="AQ53" s="1">
        <v>0.187</v>
      </c>
      <c r="AR53" s="2">
        <f t="shared" si="20"/>
        <v>7.4999999999999997E-2</v>
      </c>
      <c r="AS53" s="1">
        <v>0.72799999999999998</v>
      </c>
      <c r="AT53" s="2">
        <f t="shared" si="21"/>
        <v>0.53200000000000003</v>
      </c>
      <c r="AU53" s="1">
        <v>0.754</v>
      </c>
      <c r="AV53" s="2">
        <f t="shared" si="22"/>
        <v>0.55600000000000005</v>
      </c>
      <c r="AW53" s="1">
        <v>0.78600000000000003</v>
      </c>
      <c r="AX53" s="2">
        <f t="shared" si="23"/>
        <v>0.58000000000000007</v>
      </c>
      <c r="AY53" s="1">
        <v>1.2989999999999999</v>
      </c>
      <c r="AZ53">
        <f t="shared" si="24"/>
        <v>1.0899999999999999</v>
      </c>
      <c r="BA53" s="1">
        <v>1.3</v>
      </c>
      <c r="BB53">
        <f t="shared" si="25"/>
        <v>1.0940000000000001</v>
      </c>
      <c r="BC53" s="1">
        <v>1.296</v>
      </c>
      <c r="BD53">
        <f t="shared" si="26"/>
        <v>1.0820000000000001</v>
      </c>
      <c r="BE53" s="1">
        <v>1.2190000000000001</v>
      </c>
      <c r="BF53">
        <f t="shared" si="27"/>
        <v>1.002</v>
      </c>
      <c r="BG53" s="1">
        <v>1.2150000000000001</v>
      </c>
      <c r="BH53">
        <f t="shared" si="28"/>
        <v>1.01</v>
      </c>
      <c r="BI53" s="1">
        <v>1.2210000000000001</v>
      </c>
      <c r="BJ53">
        <f t="shared" si="29"/>
        <v>1.0150000000000001</v>
      </c>
      <c r="BK53" s="1">
        <v>1.19</v>
      </c>
      <c r="BL53">
        <f t="shared" si="30"/>
        <v>0.97099999999999997</v>
      </c>
      <c r="BM53" s="1">
        <v>1.1919999999999999</v>
      </c>
      <c r="BN53">
        <f t="shared" si="31"/>
        <v>0.97599999999999998</v>
      </c>
      <c r="BO53" s="1">
        <v>1.18</v>
      </c>
      <c r="BP53">
        <f t="shared" si="32"/>
        <v>0.95899999999999996</v>
      </c>
      <c r="BQ53">
        <v>1.1839999999999999</v>
      </c>
      <c r="BR53">
        <f t="shared" si="33"/>
        <v>0.96499999999999997</v>
      </c>
      <c r="BS53">
        <v>1.1679999999999999</v>
      </c>
      <c r="BT53">
        <f t="shared" si="34"/>
        <v>0.96599999999999997</v>
      </c>
      <c r="BU53">
        <v>1.1950000000000001</v>
      </c>
      <c r="BV53">
        <f t="shared" si="35"/>
        <v>0.97100000000000009</v>
      </c>
      <c r="BW53" s="1">
        <v>0.122</v>
      </c>
      <c r="BX53" s="2">
        <f t="shared" si="36"/>
        <v>-3.7000000000000005E-2</v>
      </c>
      <c r="BY53" s="1">
        <v>0.12</v>
      </c>
      <c r="BZ53" s="2">
        <f t="shared" si="37"/>
        <v>1.6E-2</v>
      </c>
      <c r="CA53" s="1">
        <v>0.16600000000000001</v>
      </c>
      <c r="CB53" s="2">
        <f t="shared" si="38"/>
        <v>-0.32299999999999995</v>
      </c>
      <c r="CC53" s="1">
        <v>0.72099999999999997</v>
      </c>
      <c r="CD53" s="2">
        <f t="shared" si="39"/>
        <v>0.50600000000000001</v>
      </c>
      <c r="CE53" s="1">
        <v>0.70399999999999996</v>
      </c>
      <c r="CF53" s="2">
        <f t="shared" si="40"/>
        <v>0.52200000000000002</v>
      </c>
      <c r="CG53" s="1">
        <v>0.68300000000000005</v>
      </c>
      <c r="CH53" s="2">
        <f t="shared" si="41"/>
        <v>0.49200000000000005</v>
      </c>
      <c r="CI53" s="1">
        <v>1.3120000000000001</v>
      </c>
      <c r="CJ53">
        <f t="shared" si="42"/>
        <v>1.1020000000000001</v>
      </c>
      <c r="CK53" s="1">
        <v>1.2749999999999999</v>
      </c>
      <c r="CL53">
        <f t="shared" si="43"/>
        <v>1.0799999999999998</v>
      </c>
      <c r="CM53" s="1">
        <v>1.2829999999999999</v>
      </c>
      <c r="CN53">
        <f t="shared" si="44"/>
        <v>1.0759999999999998</v>
      </c>
      <c r="CO53" s="1">
        <v>1.26</v>
      </c>
      <c r="CP53">
        <f t="shared" si="45"/>
        <v>1.0429999999999999</v>
      </c>
      <c r="CQ53" s="1">
        <v>1.2529999999999999</v>
      </c>
      <c r="CR53">
        <f t="shared" si="46"/>
        <v>1.0539999999999998</v>
      </c>
      <c r="CS53" s="1">
        <v>1.264</v>
      </c>
      <c r="CT53">
        <f t="shared" si="47"/>
        <v>1.0640000000000001</v>
      </c>
      <c r="CU53" s="1">
        <v>1.214</v>
      </c>
      <c r="CV53">
        <f t="shared" si="48"/>
        <v>0.99399999999999999</v>
      </c>
      <c r="CW53" s="1">
        <v>1.2030000000000001</v>
      </c>
      <c r="CX53">
        <f t="shared" si="49"/>
        <v>0.99700000000000011</v>
      </c>
      <c r="CY53" s="1">
        <v>1.2070000000000001</v>
      </c>
      <c r="CZ53">
        <f t="shared" si="50"/>
        <v>0.99900000000000011</v>
      </c>
      <c r="DA53">
        <v>1.2070000000000001</v>
      </c>
      <c r="DB53">
        <f t="shared" si="51"/>
        <v>0.9910000000000001</v>
      </c>
      <c r="DC53">
        <v>1.1879999999999999</v>
      </c>
      <c r="DD53">
        <f t="shared" si="52"/>
        <v>0.98499999999999988</v>
      </c>
      <c r="DE53">
        <v>1.2549999999999999</v>
      </c>
      <c r="DF53">
        <f t="shared" si="53"/>
        <v>1.0499999999999998</v>
      </c>
    </row>
    <row r="54" spans="1:110">
      <c r="A54" t="s">
        <v>159</v>
      </c>
      <c r="B54" t="s">
        <v>160</v>
      </c>
      <c r="C54" s="1">
        <v>0.19400000000000001</v>
      </c>
      <c r="D54" s="1">
        <f t="shared" si="0"/>
        <v>7.0000000000000007E-2</v>
      </c>
      <c r="E54" s="1">
        <v>0.246</v>
      </c>
      <c r="F54">
        <f t="shared" si="1"/>
        <v>0.128</v>
      </c>
      <c r="G54" s="1">
        <v>0.11799999999999999</v>
      </c>
      <c r="H54">
        <f t="shared" si="2"/>
        <v>-1.6000000000000014E-2</v>
      </c>
      <c r="I54" s="1">
        <v>0.56699999999999995</v>
      </c>
      <c r="J54">
        <f t="shared" si="3"/>
        <v>0.39499999999999996</v>
      </c>
      <c r="K54" s="1">
        <v>0.76</v>
      </c>
      <c r="L54">
        <f t="shared" si="4"/>
        <v>0.58400000000000007</v>
      </c>
      <c r="M54" s="1">
        <v>0.625</v>
      </c>
      <c r="N54">
        <f t="shared" si="5"/>
        <v>0.45799999999999996</v>
      </c>
      <c r="O54" s="1">
        <v>1.0469999999999999</v>
      </c>
      <c r="P54">
        <f t="shared" si="6"/>
        <v>0.87999999999999989</v>
      </c>
      <c r="Q54" s="1">
        <v>1.1559999999999999</v>
      </c>
      <c r="R54">
        <f t="shared" si="7"/>
        <v>0.98499999999999988</v>
      </c>
      <c r="S54" s="1">
        <v>1.0289999999999999</v>
      </c>
      <c r="T54">
        <f t="shared" si="8"/>
        <v>0.83299999999999996</v>
      </c>
      <c r="U54" s="1">
        <v>1.331</v>
      </c>
      <c r="V54">
        <f t="shared" si="9"/>
        <v>1.141</v>
      </c>
      <c r="W54" s="1">
        <v>1.425</v>
      </c>
      <c r="X54">
        <f t="shared" si="10"/>
        <v>1.2410000000000001</v>
      </c>
      <c r="Y54" s="1">
        <v>0.98899999999999999</v>
      </c>
      <c r="Z54">
        <f t="shared" si="11"/>
        <v>0.76200000000000001</v>
      </c>
      <c r="AA54" s="1">
        <v>1.4790000000000001</v>
      </c>
      <c r="AB54">
        <f t="shared" si="12"/>
        <v>1.2870000000000001</v>
      </c>
      <c r="AC54" s="1">
        <v>1.62</v>
      </c>
      <c r="AD54">
        <f t="shared" si="13"/>
        <v>1.4450000000000001</v>
      </c>
      <c r="AE54" s="1">
        <v>1.123</v>
      </c>
      <c r="AF54">
        <f t="shared" si="14"/>
        <v>0.90700000000000003</v>
      </c>
      <c r="AG54">
        <v>1.2689999999999999</v>
      </c>
      <c r="AH54">
        <f t="shared" si="15"/>
        <v>1.105</v>
      </c>
      <c r="AI54">
        <v>1.629</v>
      </c>
      <c r="AJ54">
        <f t="shared" si="16"/>
        <v>1.4530000000000001</v>
      </c>
      <c r="AK54">
        <v>1.286</v>
      </c>
      <c r="AL54">
        <f t="shared" si="17"/>
        <v>1.083</v>
      </c>
      <c r="AM54" s="1">
        <v>0.112</v>
      </c>
      <c r="AN54" s="2">
        <f t="shared" si="18"/>
        <v>1.0000000000000009E-3</v>
      </c>
      <c r="AO54" s="1">
        <v>0.125</v>
      </c>
      <c r="AP54" s="2">
        <f t="shared" si="19"/>
        <v>1.6E-2</v>
      </c>
      <c r="AQ54" s="1">
        <v>0.19</v>
      </c>
      <c r="AR54" s="2">
        <f t="shared" si="20"/>
        <v>7.8E-2</v>
      </c>
      <c r="AS54" s="1">
        <v>0.71199999999999997</v>
      </c>
      <c r="AT54" s="2">
        <f t="shared" si="21"/>
        <v>0.51600000000000001</v>
      </c>
      <c r="AU54" s="1">
        <v>0.76600000000000001</v>
      </c>
      <c r="AV54" s="2">
        <f t="shared" si="22"/>
        <v>0.56800000000000006</v>
      </c>
      <c r="AW54" s="1">
        <v>0.79400000000000004</v>
      </c>
      <c r="AX54" s="2">
        <f t="shared" si="23"/>
        <v>0.58800000000000008</v>
      </c>
      <c r="AY54" s="1">
        <v>1.03</v>
      </c>
      <c r="AZ54">
        <f t="shared" si="24"/>
        <v>0.82100000000000006</v>
      </c>
      <c r="BA54" s="1">
        <v>1.038</v>
      </c>
      <c r="BB54">
        <f t="shared" si="25"/>
        <v>0.83200000000000007</v>
      </c>
      <c r="BC54" s="1">
        <v>1.0529999999999999</v>
      </c>
      <c r="BD54">
        <f t="shared" si="26"/>
        <v>0.83899999999999997</v>
      </c>
      <c r="BE54" s="1">
        <v>1.1160000000000001</v>
      </c>
      <c r="BF54">
        <f t="shared" si="27"/>
        <v>0.89900000000000013</v>
      </c>
      <c r="BG54" s="1">
        <v>1.137</v>
      </c>
      <c r="BH54">
        <f t="shared" si="28"/>
        <v>0.93200000000000005</v>
      </c>
      <c r="BI54" s="1">
        <v>1.141</v>
      </c>
      <c r="BJ54">
        <f t="shared" si="29"/>
        <v>0.93500000000000005</v>
      </c>
      <c r="BK54" s="1">
        <v>1.1819999999999999</v>
      </c>
      <c r="BL54">
        <f t="shared" si="30"/>
        <v>0.96299999999999997</v>
      </c>
      <c r="BM54" s="1">
        <v>1.1870000000000001</v>
      </c>
      <c r="BN54">
        <f t="shared" si="31"/>
        <v>0.97100000000000009</v>
      </c>
      <c r="BO54" s="1">
        <v>1.222</v>
      </c>
      <c r="BP54">
        <f t="shared" si="32"/>
        <v>1.0009999999999999</v>
      </c>
      <c r="BQ54">
        <v>1.212</v>
      </c>
      <c r="BR54">
        <f t="shared" si="33"/>
        <v>0.99299999999999999</v>
      </c>
      <c r="BS54">
        <v>1.22</v>
      </c>
      <c r="BT54">
        <f t="shared" si="34"/>
        <v>1.018</v>
      </c>
      <c r="BU54">
        <v>1.2889999999999999</v>
      </c>
      <c r="BV54">
        <f t="shared" si="35"/>
        <v>1.0649999999999999</v>
      </c>
      <c r="BW54" s="1">
        <v>0.106</v>
      </c>
      <c r="BX54" s="2">
        <f t="shared" si="36"/>
        <v>-5.3000000000000005E-2</v>
      </c>
      <c r="BY54" s="1">
        <v>0.11600000000000001</v>
      </c>
      <c r="BZ54" s="2">
        <f t="shared" si="37"/>
        <v>1.2000000000000011E-2</v>
      </c>
      <c r="CA54" s="1">
        <v>0.188</v>
      </c>
      <c r="CB54" s="2">
        <f t="shared" si="38"/>
        <v>-0.30099999999999999</v>
      </c>
      <c r="CC54" s="1">
        <v>0.67</v>
      </c>
      <c r="CD54" s="2">
        <f t="shared" si="39"/>
        <v>0.45500000000000007</v>
      </c>
      <c r="CE54" s="1">
        <v>0.69199999999999995</v>
      </c>
      <c r="CF54" s="2">
        <f t="shared" si="40"/>
        <v>0.51</v>
      </c>
      <c r="CG54" s="1">
        <v>0.67300000000000004</v>
      </c>
      <c r="CH54" s="2">
        <f t="shared" si="41"/>
        <v>0.48200000000000004</v>
      </c>
      <c r="CI54" s="1">
        <v>1.032</v>
      </c>
      <c r="CJ54">
        <f t="shared" si="42"/>
        <v>0.82200000000000006</v>
      </c>
      <c r="CK54" s="1">
        <v>1.0109999999999999</v>
      </c>
      <c r="CL54">
        <f t="shared" si="43"/>
        <v>0.81599999999999984</v>
      </c>
      <c r="CM54" s="1">
        <v>1.0620000000000001</v>
      </c>
      <c r="CN54">
        <f t="shared" si="44"/>
        <v>0.85500000000000009</v>
      </c>
      <c r="CO54" s="1">
        <v>1.143</v>
      </c>
      <c r="CP54">
        <f t="shared" si="45"/>
        <v>0.92600000000000005</v>
      </c>
      <c r="CQ54" s="1">
        <v>1.1000000000000001</v>
      </c>
      <c r="CR54">
        <f t="shared" si="46"/>
        <v>0.90100000000000002</v>
      </c>
      <c r="CS54" s="1">
        <v>1.155</v>
      </c>
      <c r="CT54">
        <f t="shared" si="47"/>
        <v>0.95500000000000007</v>
      </c>
      <c r="CU54" s="1">
        <v>1.204</v>
      </c>
      <c r="CV54">
        <f t="shared" si="48"/>
        <v>0.98399999999999999</v>
      </c>
      <c r="CW54" s="1">
        <v>1.1479999999999999</v>
      </c>
      <c r="CX54">
        <f t="shared" si="49"/>
        <v>0.94199999999999995</v>
      </c>
      <c r="CY54" s="1">
        <v>1.2190000000000001</v>
      </c>
      <c r="CZ54">
        <f t="shared" si="50"/>
        <v>1.0110000000000001</v>
      </c>
      <c r="DA54">
        <v>1.2430000000000001</v>
      </c>
      <c r="DB54">
        <f t="shared" si="51"/>
        <v>1.0270000000000001</v>
      </c>
      <c r="DC54">
        <v>1.1839999999999999</v>
      </c>
      <c r="DD54">
        <f t="shared" si="52"/>
        <v>0.98099999999999987</v>
      </c>
      <c r="DE54">
        <v>1.3240000000000001</v>
      </c>
      <c r="DF54">
        <f t="shared" si="53"/>
        <v>1.119</v>
      </c>
    </row>
    <row r="55" spans="1:110">
      <c r="A55" t="s">
        <v>161</v>
      </c>
      <c r="B55" t="s">
        <v>162</v>
      </c>
      <c r="C55" s="1">
        <v>0.20699999999999999</v>
      </c>
      <c r="D55" s="1">
        <f t="shared" si="0"/>
        <v>8.299999999999999E-2</v>
      </c>
      <c r="E55" s="1">
        <v>0.24199999999999999</v>
      </c>
      <c r="F55">
        <f t="shared" si="1"/>
        <v>0.124</v>
      </c>
      <c r="G55" s="1">
        <v>0.14299999999999999</v>
      </c>
      <c r="H55">
        <f t="shared" si="2"/>
        <v>8.9999999999999802E-3</v>
      </c>
      <c r="I55" s="1">
        <v>0.373</v>
      </c>
      <c r="J55">
        <f t="shared" si="3"/>
        <v>0.20100000000000001</v>
      </c>
      <c r="K55" s="1">
        <v>0.60699999999999998</v>
      </c>
      <c r="L55">
        <f t="shared" si="4"/>
        <v>0.43099999999999999</v>
      </c>
      <c r="M55" s="1">
        <v>0.44400000000000001</v>
      </c>
      <c r="N55">
        <f t="shared" si="5"/>
        <v>0.27700000000000002</v>
      </c>
      <c r="O55" s="1">
        <v>0.88600000000000001</v>
      </c>
      <c r="P55">
        <f t="shared" si="6"/>
        <v>0.71899999999999997</v>
      </c>
      <c r="Q55" s="1">
        <v>1.054</v>
      </c>
      <c r="R55">
        <f t="shared" si="7"/>
        <v>0.88300000000000001</v>
      </c>
      <c r="S55" s="1">
        <v>0.91600000000000004</v>
      </c>
      <c r="T55">
        <f t="shared" si="8"/>
        <v>0.72</v>
      </c>
      <c r="U55" s="1">
        <v>0.94799999999999995</v>
      </c>
      <c r="V55">
        <f t="shared" si="9"/>
        <v>0.75800000000000001</v>
      </c>
      <c r="W55" s="1">
        <v>1.117</v>
      </c>
      <c r="X55">
        <f t="shared" si="10"/>
        <v>0.93300000000000005</v>
      </c>
      <c r="Y55" s="1">
        <v>0.98599999999999999</v>
      </c>
      <c r="Z55">
        <f t="shared" si="11"/>
        <v>0.75900000000000001</v>
      </c>
      <c r="AA55" s="1">
        <v>0.98699999999999999</v>
      </c>
      <c r="AB55">
        <f t="shared" si="12"/>
        <v>0.79499999999999993</v>
      </c>
      <c r="AC55" s="1">
        <v>1.121</v>
      </c>
      <c r="AD55">
        <f t="shared" si="13"/>
        <v>0.94599999999999995</v>
      </c>
      <c r="AE55" s="1">
        <v>0.99299999999999999</v>
      </c>
      <c r="AF55">
        <f t="shared" si="14"/>
        <v>0.77700000000000002</v>
      </c>
      <c r="AG55">
        <v>0.85899999999999999</v>
      </c>
      <c r="AH55">
        <f t="shared" si="15"/>
        <v>0.69499999999999995</v>
      </c>
      <c r="AI55">
        <v>1.101</v>
      </c>
      <c r="AJ55">
        <f t="shared" si="16"/>
        <v>0.92500000000000004</v>
      </c>
      <c r="AK55">
        <v>0.95799999999999996</v>
      </c>
      <c r="AL55">
        <f t="shared" si="17"/>
        <v>0.75499999999999989</v>
      </c>
      <c r="AM55" s="1">
        <v>0.14299999999999999</v>
      </c>
      <c r="AN55" s="2">
        <f t="shared" si="18"/>
        <v>3.1999999999999987E-2</v>
      </c>
      <c r="AO55" s="1">
        <v>0.13900000000000001</v>
      </c>
      <c r="AP55" s="2">
        <f t="shared" si="19"/>
        <v>3.0000000000000013E-2</v>
      </c>
      <c r="AQ55" s="1">
        <v>0.186</v>
      </c>
      <c r="AR55" s="2">
        <f t="shared" si="20"/>
        <v>7.3999999999999996E-2</v>
      </c>
      <c r="AS55" s="1">
        <v>0.40500000000000003</v>
      </c>
      <c r="AT55" s="2">
        <f t="shared" si="21"/>
        <v>0.20900000000000002</v>
      </c>
      <c r="AU55" s="1">
        <v>0.57499999999999996</v>
      </c>
      <c r="AV55" s="2">
        <f t="shared" si="22"/>
        <v>0.37699999999999995</v>
      </c>
      <c r="AW55" s="1">
        <v>0.61299999999999999</v>
      </c>
      <c r="AX55" s="2">
        <f t="shared" si="23"/>
        <v>0.40700000000000003</v>
      </c>
      <c r="AY55" s="1">
        <v>0.89800000000000002</v>
      </c>
      <c r="AZ55">
        <f t="shared" si="24"/>
        <v>0.68900000000000006</v>
      </c>
      <c r="BA55" s="1">
        <v>0.94299999999999995</v>
      </c>
      <c r="BB55">
        <f t="shared" si="25"/>
        <v>0.73699999999999999</v>
      </c>
      <c r="BC55" s="1">
        <v>0.93799999999999994</v>
      </c>
      <c r="BD55">
        <f t="shared" si="26"/>
        <v>0.72399999999999998</v>
      </c>
      <c r="BE55" s="1">
        <v>0.95399999999999996</v>
      </c>
      <c r="BF55">
        <f t="shared" si="27"/>
        <v>0.73699999999999999</v>
      </c>
      <c r="BG55" s="1">
        <v>0.98899999999999999</v>
      </c>
      <c r="BH55">
        <f t="shared" si="28"/>
        <v>0.78400000000000003</v>
      </c>
      <c r="BI55" s="1">
        <v>0.999</v>
      </c>
      <c r="BJ55">
        <f t="shared" si="29"/>
        <v>0.79300000000000004</v>
      </c>
      <c r="BK55" s="1">
        <v>1.004</v>
      </c>
      <c r="BL55">
        <f t="shared" si="30"/>
        <v>0.78500000000000003</v>
      </c>
      <c r="BM55" s="1">
        <v>1.008</v>
      </c>
      <c r="BN55">
        <f t="shared" si="31"/>
        <v>0.79200000000000004</v>
      </c>
      <c r="BO55" s="1">
        <v>1.0009999999999999</v>
      </c>
      <c r="BP55">
        <f t="shared" si="32"/>
        <v>0.77999999999999992</v>
      </c>
      <c r="BQ55">
        <v>1.05</v>
      </c>
      <c r="BR55">
        <f t="shared" si="33"/>
        <v>0.83100000000000007</v>
      </c>
      <c r="BS55">
        <v>1.03</v>
      </c>
      <c r="BT55">
        <f t="shared" si="34"/>
        <v>0.82800000000000007</v>
      </c>
      <c r="BU55">
        <v>1.036</v>
      </c>
      <c r="BV55">
        <f t="shared" si="35"/>
        <v>0.81200000000000006</v>
      </c>
      <c r="BW55" s="1">
        <v>0.128</v>
      </c>
      <c r="BX55" s="2">
        <f t="shared" si="36"/>
        <v>-3.1E-2</v>
      </c>
      <c r="BY55" s="1">
        <v>0.106</v>
      </c>
      <c r="BZ55" s="2">
        <f t="shared" si="37"/>
        <v>2.0000000000000018E-3</v>
      </c>
      <c r="CA55" s="1">
        <v>0.20599999999999999</v>
      </c>
      <c r="CB55" s="2">
        <f t="shared" si="38"/>
        <v>-0.28300000000000003</v>
      </c>
      <c r="CC55" s="1">
        <v>0.55900000000000005</v>
      </c>
      <c r="CD55" s="2">
        <f t="shared" si="39"/>
        <v>0.34400000000000008</v>
      </c>
      <c r="CE55" s="1">
        <v>0.45200000000000001</v>
      </c>
      <c r="CF55" s="2">
        <f t="shared" si="40"/>
        <v>0.27</v>
      </c>
      <c r="CG55" s="1">
        <v>0.32400000000000001</v>
      </c>
      <c r="CH55" s="2">
        <f t="shared" si="41"/>
        <v>0.13300000000000001</v>
      </c>
      <c r="CI55" s="1">
        <v>0.92700000000000005</v>
      </c>
      <c r="CJ55">
        <f t="shared" si="42"/>
        <v>0.71700000000000008</v>
      </c>
      <c r="CK55" s="1">
        <v>0.91400000000000003</v>
      </c>
      <c r="CL55">
        <f t="shared" si="43"/>
        <v>0.71900000000000008</v>
      </c>
      <c r="CM55" s="1">
        <v>0.91600000000000004</v>
      </c>
      <c r="CN55">
        <f t="shared" si="44"/>
        <v>0.70900000000000007</v>
      </c>
      <c r="CO55" s="1">
        <v>0.97199999999999998</v>
      </c>
      <c r="CP55">
        <f t="shared" si="45"/>
        <v>0.755</v>
      </c>
      <c r="CQ55" s="1">
        <v>0.95399999999999996</v>
      </c>
      <c r="CR55">
        <f t="shared" si="46"/>
        <v>0.75499999999999989</v>
      </c>
      <c r="CS55" s="1">
        <v>1.0089999999999999</v>
      </c>
      <c r="CT55">
        <f t="shared" si="47"/>
        <v>0.80899999999999994</v>
      </c>
      <c r="CU55" s="1">
        <v>1.024</v>
      </c>
      <c r="CV55">
        <f t="shared" si="48"/>
        <v>0.80400000000000005</v>
      </c>
      <c r="CW55" s="1">
        <v>0.98899999999999999</v>
      </c>
      <c r="CX55">
        <f t="shared" si="49"/>
        <v>0.78300000000000003</v>
      </c>
      <c r="CY55" s="1">
        <v>1.0429999999999999</v>
      </c>
      <c r="CZ55">
        <f t="shared" si="50"/>
        <v>0.83499999999999996</v>
      </c>
      <c r="DA55">
        <v>1.0680000000000001</v>
      </c>
      <c r="DB55">
        <f t="shared" si="51"/>
        <v>0.85200000000000009</v>
      </c>
      <c r="DC55">
        <v>1.022</v>
      </c>
      <c r="DD55">
        <f t="shared" si="52"/>
        <v>0.81899999999999995</v>
      </c>
      <c r="DE55">
        <v>1.145</v>
      </c>
      <c r="DF55">
        <f t="shared" si="53"/>
        <v>0.94000000000000006</v>
      </c>
    </row>
    <row r="56" spans="1:110">
      <c r="A56" t="s">
        <v>163</v>
      </c>
      <c r="B56" t="s">
        <v>164</v>
      </c>
      <c r="C56" s="1">
        <v>0.16200000000000001</v>
      </c>
      <c r="D56" s="1">
        <f t="shared" si="0"/>
        <v>3.8000000000000006E-2</v>
      </c>
      <c r="E56" s="1">
        <v>0.26400000000000001</v>
      </c>
      <c r="F56">
        <f t="shared" si="1"/>
        <v>0.14600000000000002</v>
      </c>
      <c r="G56" s="1">
        <v>0.105</v>
      </c>
      <c r="H56">
        <f t="shared" si="2"/>
        <v>-2.9000000000000012E-2</v>
      </c>
      <c r="I56" s="1">
        <v>0.2</v>
      </c>
      <c r="J56">
        <f t="shared" si="3"/>
        <v>2.8000000000000025E-2</v>
      </c>
      <c r="K56" s="1">
        <v>0.36399999999999999</v>
      </c>
      <c r="L56">
        <f t="shared" si="4"/>
        <v>0.188</v>
      </c>
      <c r="M56" s="1">
        <v>0.24299999999999999</v>
      </c>
      <c r="N56">
        <f t="shared" si="5"/>
        <v>7.5999999999999984E-2</v>
      </c>
      <c r="O56" s="1">
        <v>0.222</v>
      </c>
      <c r="P56">
        <f t="shared" si="6"/>
        <v>5.4999999999999993E-2</v>
      </c>
      <c r="Q56" s="1">
        <v>0.36199999999999999</v>
      </c>
      <c r="R56">
        <f t="shared" si="7"/>
        <v>0.19099999999999998</v>
      </c>
      <c r="S56" s="1">
        <v>0.219</v>
      </c>
      <c r="T56">
        <f t="shared" si="8"/>
        <v>2.2999999999999993E-2</v>
      </c>
      <c r="U56" s="1">
        <v>0.16800000000000001</v>
      </c>
      <c r="V56">
        <f t="shared" si="9"/>
        <v>-2.1999999999999992E-2</v>
      </c>
      <c r="W56" s="1">
        <v>0.37</v>
      </c>
      <c r="X56">
        <f t="shared" si="10"/>
        <v>0.186</v>
      </c>
      <c r="Y56" s="1">
        <v>0.218</v>
      </c>
      <c r="Z56">
        <f t="shared" si="11"/>
        <v>-9.000000000000008E-3</v>
      </c>
      <c r="AA56" s="1">
        <v>0.16400000000000001</v>
      </c>
      <c r="AB56">
        <f t="shared" si="12"/>
        <v>-2.7999999999999997E-2</v>
      </c>
      <c r="AC56" s="1">
        <v>0.36199999999999999</v>
      </c>
      <c r="AD56">
        <f t="shared" si="13"/>
        <v>0.187</v>
      </c>
      <c r="AE56" s="1">
        <v>0.215</v>
      </c>
      <c r="AF56">
        <f t="shared" si="14"/>
        <v>-1.0000000000000009E-3</v>
      </c>
      <c r="AG56">
        <v>0.16500000000000001</v>
      </c>
      <c r="AH56">
        <f t="shared" si="15"/>
        <v>1.0000000000000009E-3</v>
      </c>
      <c r="AI56">
        <v>0.39900000000000002</v>
      </c>
      <c r="AJ56">
        <f t="shared" si="16"/>
        <v>0.22300000000000003</v>
      </c>
      <c r="AK56">
        <v>0.214</v>
      </c>
      <c r="AL56">
        <f t="shared" si="17"/>
        <v>1.0999999999999982E-2</v>
      </c>
      <c r="AM56" s="1">
        <v>0.13800000000000001</v>
      </c>
      <c r="AN56" s="2">
        <f t="shared" si="18"/>
        <v>2.700000000000001E-2</v>
      </c>
      <c r="AO56" s="1">
        <v>0.114</v>
      </c>
      <c r="AP56" s="2">
        <f t="shared" si="19"/>
        <v>5.0000000000000044E-3</v>
      </c>
      <c r="AQ56" s="1">
        <v>0.16600000000000001</v>
      </c>
      <c r="AR56" s="2">
        <f t="shared" si="20"/>
        <v>5.4000000000000006E-2</v>
      </c>
      <c r="AS56" s="1">
        <v>0.23200000000000001</v>
      </c>
      <c r="AT56" s="2">
        <f t="shared" si="21"/>
        <v>3.6000000000000004E-2</v>
      </c>
      <c r="AU56" s="1">
        <v>0.23400000000000001</v>
      </c>
      <c r="AV56" s="2">
        <f t="shared" si="22"/>
        <v>3.6000000000000004E-2</v>
      </c>
      <c r="AW56" s="1">
        <v>0.27300000000000002</v>
      </c>
      <c r="AX56" s="2">
        <f t="shared" si="23"/>
        <v>6.7000000000000032E-2</v>
      </c>
      <c r="AY56" s="1">
        <v>0.22900000000000001</v>
      </c>
      <c r="AZ56">
        <f t="shared" si="24"/>
        <v>2.0000000000000018E-2</v>
      </c>
      <c r="BA56" s="1">
        <v>0.23400000000000001</v>
      </c>
      <c r="BB56">
        <f t="shared" si="25"/>
        <v>2.8000000000000025E-2</v>
      </c>
      <c r="BC56" s="1">
        <v>0.23400000000000001</v>
      </c>
      <c r="BD56">
        <f t="shared" si="26"/>
        <v>2.0000000000000018E-2</v>
      </c>
      <c r="BE56" s="1">
        <v>0.23899999999999999</v>
      </c>
      <c r="BF56">
        <f t="shared" si="27"/>
        <v>2.1999999999999992E-2</v>
      </c>
      <c r="BG56" s="1">
        <v>0.24099999999999999</v>
      </c>
      <c r="BH56">
        <f t="shared" si="28"/>
        <v>3.6000000000000004E-2</v>
      </c>
      <c r="BI56" s="1">
        <v>0.25700000000000001</v>
      </c>
      <c r="BJ56">
        <f t="shared" si="29"/>
        <v>5.1000000000000018E-2</v>
      </c>
      <c r="BK56" s="1">
        <v>0.23699999999999999</v>
      </c>
      <c r="BL56">
        <f t="shared" si="30"/>
        <v>1.7999999999999988E-2</v>
      </c>
      <c r="BM56" s="1">
        <v>0.23899999999999999</v>
      </c>
      <c r="BN56">
        <f t="shared" si="31"/>
        <v>2.2999999999999993E-2</v>
      </c>
      <c r="BO56" s="1">
        <v>0.252</v>
      </c>
      <c r="BP56">
        <f t="shared" si="32"/>
        <v>3.1E-2</v>
      </c>
      <c r="BQ56">
        <v>0.23300000000000001</v>
      </c>
      <c r="BR56">
        <f t="shared" si="33"/>
        <v>1.4000000000000012E-2</v>
      </c>
      <c r="BS56">
        <v>0.23599999999999999</v>
      </c>
      <c r="BT56">
        <f t="shared" si="34"/>
        <v>3.3999999999999975E-2</v>
      </c>
      <c r="BU56">
        <v>0.28399999999999997</v>
      </c>
      <c r="BV56">
        <f t="shared" si="35"/>
        <v>5.999999999999997E-2</v>
      </c>
      <c r="BW56" s="1">
        <v>0.104</v>
      </c>
      <c r="BX56" s="2">
        <f t="shared" si="36"/>
        <v>-5.5000000000000007E-2</v>
      </c>
      <c r="BY56" s="1">
        <v>0.113</v>
      </c>
      <c r="BZ56" s="2">
        <f t="shared" si="37"/>
        <v>9.000000000000008E-3</v>
      </c>
      <c r="CA56" s="1">
        <v>0.188</v>
      </c>
      <c r="CB56" s="2">
        <f t="shared" si="38"/>
        <v>-0.30099999999999999</v>
      </c>
      <c r="CC56" s="1">
        <v>0.18099999999999999</v>
      </c>
      <c r="CD56" s="2">
        <f t="shared" si="39"/>
        <v>-3.4000000000000002E-2</v>
      </c>
      <c r="CE56" s="1">
        <v>0.20300000000000001</v>
      </c>
      <c r="CF56" s="2">
        <f t="shared" si="40"/>
        <v>2.1000000000000019E-2</v>
      </c>
      <c r="CG56" s="1">
        <v>0.27700000000000002</v>
      </c>
      <c r="CH56" s="2">
        <f t="shared" si="41"/>
        <v>8.6000000000000021E-2</v>
      </c>
      <c r="CI56" s="1">
        <v>0.18</v>
      </c>
      <c r="CJ56">
        <f t="shared" si="42"/>
        <v>-0.03</v>
      </c>
      <c r="CK56" s="1">
        <v>0.22</v>
      </c>
      <c r="CL56">
        <f t="shared" si="43"/>
        <v>2.4999999999999994E-2</v>
      </c>
      <c r="CM56" s="1">
        <v>0.24299999999999999</v>
      </c>
      <c r="CN56">
        <f t="shared" si="44"/>
        <v>3.6000000000000004E-2</v>
      </c>
      <c r="CO56" s="1">
        <v>0.189</v>
      </c>
      <c r="CP56">
        <f t="shared" si="45"/>
        <v>-2.7999999999999997E-2</v>
      </c>
      <c r="CQ56" s="1">
        <v>0.216</v>
      </c>
      <c r="CR56">
        <f t="shared" si="46"/>
        <v>1.6999999999999987E-2</v>
      </c>
      <c r="CS56" s="1">
        <v>0.247</v>
      </c>
      <c r="CT56">
        <f t="shared" si="47"/>
        <v>4.6999999999999986E-2</v>
      </c>
      <c r="CU56" s="1">
        <v>0.189</v>
      </c>
      <c r="CV56">
        <f t="shared" si="48"/>
        <v>-3.1E-2</v>
      </c>
      <c r="CW56" s="1">
        <v>0.221</v>
      </c>
      <c r="CX56">
        <f t="shared" si="49"/>
        <v>1.5000000000000013E-2</v>
      </c>
      <c r="CY56" s="1">
        <v>0.252</v>
      </c>
      <c r="CZ56">
        <f t="shared" si="50"/>
        <v>4.4000000000000011E-2</v>
      </c>
      <c r="DA56">
        <v>0.182</v>
      </c>
      <c r="DB56">
        <f t="shared" si="51"/>
        <v>-3.4000000000000002E-2</v>
      </c>
      <c r="DC56">
        <v>0.20799999999999999</v>
      </c>
      <c r="DD56">
        <f t="shared" si="52"/>
        <v>4.9999999999999767E-3</v>
      </c>
      <c r="DE56">
        <v>0.312</v>
      </c>
      <c r="DF56">
        <f t="shared" si="53"/>
        <v>0.10700000000000001</v>
      </c>
    </row>
    <row r="57" spans="1:110">
      <c r="A57" t="s">
        <v>165</v>
      </c>
      <c r="B57" t="s">
        <v>166</v>
      </c>
      <c r="C57" s="1">
        <v>0.113</v>
      </c>
      <c r="D57" s="1">
        <f t="shared" si="0"/>
        <v>-1.0999999999999996E-2</v>
      </c>
      <c r="E57" s="1">
        <v>0.223</v>
      </c>
      <c r="F57">
        <f t="shared" si="1"/>
        <v>0.10500000000000001</v>
      </c>
      <c r="G57" s="1">
        <v>0.13200000000000001</v>
      </c>
      <c r="H57">
        <f t="shared" si="2"/>
        <v>-2.0000000000000018E-3</v>
      </c>
      <c r="I57" s="1">
        <v>0.72399999999999998</v>
      </c>
      <c r="J57">
        <f t="shared" si="3"/>
        <v>0.55200000000000005</v>
      </c>
      <c r="K57" s="1">
        <v>0.91400000000000003</v>
      </c>
      <c r="L57">
        <f t="shared" si="4"/>
        <v>0.73799999999999999</v>
      </c>
      <c r="M57" s="1">
        <v>0.72699999999999998</v>
      </c>
      <c r="N57">
        <f t="shared" si="5"/>
        <v>0.55999999999999994</v>
      </c>
      <c r="O57" s="1">
        <v>1.224</v>
      </c>
      <c r="P57">
        <f t="shared" si="6"/>
        <v>1.0569999999999999</v>
      </c>
      <c r="Q57" s="1">
        <v>1.331</v>
      </c>
      <c r="R57">
        <f t="shared" si="7"/>
        <v>1.1599999999999999</v>
      </c>
      <c r="S57" s="1">
        <v>1.198</v>
      </c>
      <c r="T57">
        <f t="shared" si="8"/>
        <v>1.002</v>
      </c>
      <c r="U57" s="1">
        <v>0.96</v>
      </c>
      <c r="V57">
        <f t="shared" si="9"/>
        <v>0.77</v>
      </c>
      <c r="W57" s="1">
        <v>1.139</v>
      </c>
      <c r="X57">
        <f t="shared" si="10"/>
        <v>0.95500000000000007</v>
      </c>
      <c r="Y57" s="1">
        <v>1.0660000000000001</v>
      </c>
      <c r="Z57">
        <f t="shared" si="11"/>
        <v>0.83900000000000008</v>
      </c>
      <c r="AA57" s="1">
        <v>0.95699999999999996</v>
      </c>
      <c r="AB57">
        <f t="shared" si="12"/>
        <v>0.7649999999999999</v>
      </c>
      <c r="AC57" s="1">
        <v>1.121</v>
      </c>
      <c r="AD57">
        <f t="shared" si="13"/>
        <v>0.94599999999999995</v>
      </c>
      <c r="AE57" s="1">
        <v>0.999</v>
      </c>
      <c r="AF57">
        <f t="shared" si="14"/>
        <v>0.78300000000000003</v>
      </c>
      <c r="AG57">
        <v>0.91</v>
      </c>
      <c r="AH57">
        <f t="shared" si="15"/>
        <v>0.746</v>
      </c>
      <c r="AI57">
        <v>1.0980000000000001</v>
      </c>
      <c r="AJ57">
        <f t="shared" si="16"/>
        <v>0.92200000000000015</v>
      </c>
      <c r="AK57">
        <v>0.99199999999999999</v>
      </c>
      <c r="AL57">
        <f t="shared" si="17"/>
        <v>0.78899999999999992</v>
      </c>
      <c r="AM57" s="1">
        <v>0.18099999999999999</v>
      </c>
      <c r="AN57" s="2">
        <f t="shared" si="18"/>
        <v>6.9999999999999993E-2</v>
      </c>
      <c r="AO57" s="1">
        <v>0.128</v>
      </c>
      <c r="AP57" s="2">
        <f t="shared" si="19"/>
        <v>1.9000000000000003E-2</v>
      </c>
      <c r="AQ57" s="1">
        <v>0.161</v>
      </c>
      <c r="AR57" s="2">
        <f t="shared" si="20"/>
        <v>4.9000000000000002E-2</v>
      </c>
      <c r="AS57" s="1">
        <v>0.82399999999999995</v>
      </c>
      <c r="AT57" s="2">
        <f t="shared" si="21"/>
        <v>0.62799999999999989</v>
      </c>
      <c r="AU57" s="1">
        <v>0.874</v>
      </c>
      <c r="AV57" s="2">
        <f t="shared" si="22"/>
        <v>0.67599999999999993</v>
      </c>
      <c r="AW57" s="1">
        <v>0.84699999999999998</v>
      </c>
      <c r="AX57" s="2">
        <f t="shared" si="23"/>
        <v>0.64100000000000001</v>
      </c>
      <c r="AY57" s="1">
        <v>1.1299999999999999</v>
      </c>
      <c r="AZ57">
        <f t="shared" si="24"/>
        <v>0.92099999999999993</v>
      </c>
      <c r="BA57" s="1">
        <v>1.149</v>
      </c>
      <c r="BB57">
        <f t="shared" si="25"/>
        <v>0.94300000000000006</v>
      </c>
      <c r="BC57" s="1">
        <v>1.1619999999999999</v>
      </c>
      <c r="BD57">
        <f t="shared" si="26"/>
        <v>0.94799999999999995</v>
      </c>
      <c r="BE57" s="1">
        <v>1.2649999999999999</v>
      </c>
      <c r="BF57">
        <f t="shared" si="27"/>
        <v>1.0479999999999998</v>
      </c>
      <c r="BG57" s="1">
        <v>1.2290000000000001</v>
      </c>
      <c r="BH57">
        <f t="shared" si="28"/>
        <v>1.024</v>
      </c>
      <c r="BI57" s="1">
        <v>1.1870000000000001</v>
      </c>
      <c r="BJ57">
        <f t="shared" si="29"/>
        <v>0.98100000000000009</v>
      </c>
      <c r="BK57" s="1">
        <v>1.204</v>
      </c>
      <c r="BL57">
        <f t="shared" si="30"/>
        <v>0.98499999999999999</v>
      </c>
      <c r="BM57" s="1">
        <v>1.1739999999999999</v>
      </c>
      <c r="BN57">
        <f t="shared" si="31"/>
        <v>0.95799999999999996</v>
      </c>
      <c r="BO57" s="1">
        <v>1.1319999999999999</v>
      </c>
      <c r="BP57">
        <f t="shared" si="32"/>
        <v>0.91099999999999992</v>
      </c>
      <c r="BQ57">
        <v>1.2</v>
      </c>
      <c r="BR57">
        <f t="shared" si="33"/>
        <v>0.98099999999999998</v>
      </c>
      <c r="BS57">
        <v>1.181</v>
      </c>
      <c r="BT57">
        <f t="shared" si="34"/>
        <v>0.97900000000000009</v>
      </c>
      <c r="BU57">
        <v>1.1439999999999999</v>
      </c>
      <c r="BV57">
        <f t="shared" si="35"/>
        <v>0.91999999999999993</v>
      </c>
      <c r="BW57" s="1">
        <v>0.10199999999999999</v>
      </c>
      <c r="BX57" s="2">
        <f t="shared" si="36"/>
        <v>-5.7000000000000009E-2</v>
      </c>
      <c r="BY57" s="1">
        <v>9.8000000000000004E-2</v>
      </c>
      <c r="BZ57" s="2">
        <f t="shared" si="37"/>
        <v>-5.9999999999999915E-3</v>
      </c>
      <c r="CA57" s="1">
        <v>0.2</v>
      </c>
      <c r="CB57" s="2">
        <f t="shared" si="38"/>
        <v>-0.28899999999999998</v>
      </c>
      <c r="CC57" s="1">
        <v>0.86699999999999999</v>
      </c>
      <c r="CD57" s="2">
        <f t="shared" si="39"/>
        <v>0.65200000000000002</v>
      </c>
      <c r="CE57" s="1">
        <v>0.81299999999999994</v>
      </c>
      <c r="CF57" s="2">
        <f t="shared" si="40"/>
        <v>0.63100000000000001</v>
      </c>
      <c r="CG57" s="1">
        <v>0.82699999999999996</v>
      </c>
      <c r="CH57" s="2">
        <f t="shared" si="41"/>
        <v>0.6359999999999999</v>
      </c>
      <c r="CI57" s="1">
        <v>1.2170000000000001</v>
      </c>
      <c r="CJ57">
        <f t="shared" si="42"/>
        <v>1.0070000000000001</v>
      </c>
      <c r="CK57" s="1">
        <v>1.179</v>
      </c>
      <c r="CL57">
        <f t="shared" si="43"/>
        <v>0.98399999999999999</v>
      </c>
      <c r="CM57" s="1">
        <v>1.133</v>
      </c>
      <c r="CN57">
        <f t="shared" si="44"/>
        <v>0.92600000000000005</v>
      </c>
      <c r="CO57" s="1">
        <v>1.1850000000000001</v>
      </c>
      <c r="CP57">
        <f t="shared" si="45"/>
        <v>0.96800000000000008</v>
      </c>
      <c r="CQ57" s="1">
        <v>1.1479999999999999</v>
      </c>
      <c r="CR57">
        <f t="shared" si="46"/>
        <v>0.94899999999999984</v>
      </c>
      <c r="CS57" s="1">
        <v>1.208</v>
      </c>
      <c r="CT57">
        <f t="shared" si="47"/>
        <v>1.008</v>
      </c>
      <c r="CU57" s="1">
        <v>1.143</v>
      </c>
      <c r="CV57">
        <f t="shared" si="48"/>
        <v>0.92300000000000004</v>
      </c>
      <c r="CW57" s="1">
        <v>1.1160000000000001</v>
      </c>
      <c r="CX57">
        <f t="shared" si="49"/>
        <v>0.91000000000000014</v>
      </c>
      <c r="CY57" s="1">
        <v>1.1659999999999999</v>
      </c>
      <c r="CZ57">
        <f t="shared" si="50"/>
        <v>0.95799999999999996</v>
      </c>
      <c r="DA57">
        <v>1.1519999999999999</v>
      </c>
      <c r="DB57">
        <f t="shared" si="51"/>
        <v>0.93599999999999994</v>
      </c>
      <c r="DC57">
        <v>1.1200000000000001</v>
      </c>
      <c r="DD57">
        <f t="shared" si="52"/>
        <v>0.91700000000000004</v>
      </c>
      <c r="DE57">
        <v>1.2130000000000001</v>
      </c>
      <c r="DF57">
        <f t="shared" si="53"/>
        <v>1.008</v>
      </c>
    </row>
    <row r="58" spans="1:110">
      <c r="A58" t="s">
        <v>167</v>
      </c>
      <c r="B58" t="s">
        <v>168</v>
      </c>
      <c r="C58" s="1">
        <v>0.11700000000000001</v>
      </c>
      <c r="D58" s="1">
        <f t="shared" si="0"/>
        <v>-6.9999999999999923E-3</v>
      </c>
      <c r="E58" s="1">
        <v>0.13400000000000001</v>
      </c>
      <c r="F58">
        <f t="shared" si="1"/>
        <v>1.6000000000000014E-2</v>
      </c>
      <c r="G58" s="1">
        <v>0.13</v>
      </c>
      <c r="H58">
        <f t="shared" si="2"/>
        <v>-4.0000000000000036E-3</v>
      </c>
      <c r="I58" s="1">
        <v>0.56999999999999995</v>
      </c>
      <c r="J58">
        <f t="shared" si="3"/>
        <v>0.39799999999999996</v>
      </c>
      <c r="K58" s="1">
        <v>0.67500000000000004</v>
      </c>
      <c r="L58">
        <f t="shared" si="4"/>
        <v>0.49900000000000005</v>
      </c>
      <c r="M58" s="1">
        <v>0.60699999999999998</v>
      </c>
      <c r="N58">
        <f t="shared" si="5"/>
        <v>0.43999999999999995</v>
      </c>
      <c r="O58" s="1">
        <v>1.2270000000000001</v>
      </c>
      <c r="P58">
        <f t="shared" si="6"/>
        <v>1.06</v>
      </c>
      <c r="Q58" s="1">
        <v>1.2250000000000001</v>
      </c>
      <c r="R58">
        <f t="shared" si="7"/>
        <v>1.054</v>
      </c>
      <c r="S58" s="1">
        <v>1.1850000000000001</v>
      </c>
      <c r="T58">
        <f t="shared" si="8"/>
        <v>0.9890000000000001</v>
      </c>
      <c r="U58" s="1">
        <v>1.3420000000000001</v>
      </c>
      <c r="V58">
        <f t="shared" si="9"/>
        <v>1.1520000000000001</v>
      </c>
      <c r="W58" s="1">
        <v>1.3280000000000001</v>
      </c>
      <c r="X58">
        <f t="shared" si="10"/>
        <v>1.1440000000000001</v>
      </c>
      <c r="Y58" s="1">
        <v>1.2669999999999999</v>
      </c>
      <c r="Z58">
        <f t="shared" si="11"/>
        <v>1.0399999999999998</v>
      </c>
      <c r="AA58" s="1">
        <v>1.3049999999999999</v>
      </c>
      <c r="AB58">
        <f t="shared" si="12"/>
        <v>1.113</v>
      </c>
      <c r="AC58" s="1">
        <v>1.36</v>
      </c>
      <c r="AD58">
        <f t="shared" si="13"/>
        <v>1.1850000000000001</v>
      </c>
      <c r="AE58" s="1">
        <v>1.331</v>
      </c>
      <c r="AF58">
        <f t="shared" si="14"/>
        <v>1.115</v>
      </c>
      <c r="AG58">
        <v>1.2110000000000001</v>
      </c>
      <c r="AH58">
        <f t="shared" si="15"/>
        <v>1.0470000000000002</v>
      </c>
      <c r="AI58">
        <v>1.3660000000000001</v>
      </c>
      <c r="AJ58">
        <f t="shared" si="16"/>
        <v>1.1900000000000002</v>
      </c>
      <c r="AK58">
        <v>1.3120000000000001</v>
      </c>
      <c r="AL58">
        <f t="shared" si="17"/>
        <v>1.109</v>
      </c>
      <c r="AM58" s="1">
        <v>0.13200000000000001</v>
      </c>
      <c r="AN58" s="2">
        <f t="shared" si="18"/>
        <v>2.1000000000000005E-2</v>
      </c>
      <c r="AO58" s="1">
        <v>0.14299999999999999</v>
      </c>
      <c r="AP58" s="2">
        <f t="shared" si="19"/>
        <v>3.3999999999999989E-2</v>
      </c>
      <c r="AQ58" s="1">
        <v>0.156</v>
      </c>
      <c r="AR58" s="2">
        <f t="shared" si="20"/>
        <v>4.3999999999999997E-2</v>
      </c>
      <c r="AS58" s="1">
        <v>0.63400000000000001</v>
      </c>
      <c r="AT58" s="2">
        <f t="shared" si="21"/>
        <v>0.438</v>
      </c>
      <c r="AU58" s="1">
        <v>0.69599999999999995</v>
      </c>
      <c r="AV58" s="2">
        <f t="shared" si="22"/>
        <v>0.49799999999999994</v>
      </c>
      <c r="AW58" s="1">
        <v>0.67700000000000005</v>
      </c>
      <c r="AX58" s="2">
        <f t="shared" si="23"/>
        <v>0.47100000000000009</v>
      </c>
      <c r="AY58" s="1">
        <v>1.1399999999999999</v>
      </c>
      <c r="AZ58">
        <f t="shared" si="24"/>
        <v>0.93099999999999994</v>
      </c>
      <c r="BA58" s="1">
        <v>1.163</v>
      </c>
      <c r="BB58">
        <f t="shared" si="25"/>
        <v>0.95700000000000007</v>
      </c>
      <c r="BC58" s="1">
        <v>1.123</v>
      </c>
      <c r="BD58">
        <f t="shared" si="26"/>
        <v>0.90900000000000003</v>
      </c>
      <c r="BE58" s="1">
        <v>1.2490000000000001</v>
      </c>
      <c r="BF58">
        <f t="shared" si="27"/>
        <v>1.032</v>
      </c>
      <c r="BG58" s="1">
        <v>1.272</v>
      </c>
      <c r="BH58">
        <f t="shared" si="28"/>
        <v>1.0669999999999999</v>
      </c>
      <c r="BI58" s="1">
        <v>1.2509999999999999</v>
      </c>
      <c r="BJ58">
        <f t="shared" si="29"/>
        <v>1.0449999999999999</v>
      </c>
      <c r="BK58" s="1">
        <v>1.2390000000000001</v>
      </c>
      <c r="BL58">
        <f t="shared" si="30"/>
        <v>1.02</v>
      </c>
      <c r="BM58" s="1">
        <v>1.2490000000000001</v>
      </c>
      <c r="BN58">
        <f t="shared" si="31"/>
        <v>1.0330000000000001</v>
      </c>
      <c r="BO58" s="1">
        <v>1.2130000000000001</v>
      </c>
      <c r="BP58">
        <f t="shared" si="32"/>
        <v>0.9920000000000001</v>
      </c>
      <c r="BQ58">
        <v>1.2290000000000001</v>
      </c>
      <c r="BR58">
        <f t="shared" si="33"/>
        <v>1.01</v>
      </c>
      <c r="BS58">
        <v>1.244</v>
      </c>
      <c r="BT58">
        <f t="shared" si="34"/>
        <v>1.042</v>
      </c>
      <c r="BU58">
        <v>1.2090000000000001</v>
      </c>
      <c r="BV58">
        <f t="shared" si="35"/>
        <v>0.9850000000000001</v>
      </c>
      <c r="BW58" s="1">
        <v>0.11600000000000001</v>
      </c>
      <c r="BX58" s="2">
        <f t="shared" si="36"/>
        <v>-4.2999999999999997E-2</v>
      </c>
      <c r="BY58" s="1">
        <v>0.11</v>
      </c>
      <c r="BZ58" s="2">
        <f t="shared" si="37"/>
        <v>6.0000000000000053E-3</v>
      </c>
      <c r="CA58" s="1">
        <v>0.23200000000000001</v>
      </c>
      <c r="CB58" s="2">
        <f t="shared" si="38"/>
        <v>-0.25700000000000001</v>
      </c>
      <c r="CC58" s="1">
        <v>0.59399999999999997</v>
      </c>
      <c r="CD58" s="2">
        <f t="shared" si="39"/>
        <v>0.379</v>
      </c>
      <c r="CE58" s="1">
        <v>0.58199999999999996</v>
      </c>
      <c r="CF58" s="2">
        <f t="shared" si="40"/>
        <v>0.39999999999999997</v>
      </c>
      <c r="CG58" s="1">
        <v>0.56899999999999995</v>
      </c>
      <c r="CH58" s="2">
        <f t="shared" si="41"/>
        <v>0.37799999999999995</v>
      </c>
      <c r="CI58" s="1">
        <v>1.073</v>
      </c>
      <c r="CJ58">
        <f t="shared" si="42"/>
        <v>0.86299999999999999</v>
      </c>
      <c r="CK58" s="1">
        <v>1.069</v>
      </c>
      <c r="CL58">
        <f t="shared" si="43"/>
        <v>0.87399999999999989</v>
      </c>
      <c r="CM58" s="1">
        <v>1.089</v>
      </c>
      <c r="CN58">
        <f t="shared" si="44"/>
        <v>0.88200000000000001</v>
      </c>
      <c r="CO58" s="1">
        <v>1.1890000000000001</v>
      </c>
      <c r="CP58">
        <f t="shared" si="45"/>
        <v>0.97200000000000009</v>
      </c>
      <c r="CQ58" s="1">
        <v>1.194</v>
      </c>
      <c r="CR58">
        <f t="shared" si="46"/>
        <v>0.99499999999999988</v>
      </c>
      <c r="CS58" s="1">
        <v>1.2230000000000001</v>
      </c>
      <c r="CT58">
        <f t="shared" si="47"/>
        <v>1.0230000000000001</v>
      </c>
      <c r="CU58" s="1">
        <v>1.2190000000000001</v>
      </c>
      <c r="CV58">
        <f t="shared" si="48"/>
        <v>0.99900000000000011</v>
      </c>
      <c r="CW58" s="1">
        <v>1.2170000000000001</v>
      </c>
      <c r="CX58">
        <f t="shared" si="49"/>
        <v>1.0110000000000001</v>
      </c>
      <c r="CY58" s="1">
        <v>1.28</v>
      </c>
      <c r="CZ58">
        <f t="shared" si="50"/>
        <v>1.0720000000000001</v>
      </c>
      <c r="DA58">
        <v>1.19</v>
      </c>
      <c r="DB58">
        <f t="shared" si="51"/>
        <v>0.97399999999999998</v>
      </c>
      <c r="DC58">
        <v>1.1930000000000001</v>
      </c>
      <c r="DD58">
        <f t="shared" si="52"/>
        <v>0.99</v>
      </c>
      <c r="DE58">
        <v>1.2569999999999999</v>
      </c>
      <c r="DF58">
        <f t="shared" si="53"/>
        <v>1.0519999999999998</v>
      </c>
    </row>
    <row r="59" spans="1:110">
      <c r="A59" t="s">
        <v>169</v>
      </c>
      <c r="B59" t="s">
        <v>170</v>
      </c>
      <c r="C59" s="1">
        <v>0.126</v>
      </c>
      <c r="D59" s="1">
        <f t="shared" si="0"/>
        <v>2.0000000000000018E-3</v>
      </c>
      <c r="E59" s="1">
        <v>0.122</v>
      </c>
      <c r="F59">
        <f t="shared" si="1"/>
        <v>4.0000000000000036E-3</v>
      </c>
      <c r="G59" s="1">
        <v>0.14499999999999999</v>
      </c>
      <c r="H59">
        <f t="shared" si="2"/>
        <v>1.0999999999999982E-2</v>
      </c>
      <c r="I59" s="1">
        <v>0.95099999999999996</v>
      </c>
      <c r="J59">
        <f t="shared" si="3"/>
        <v>0.77899999999999991</v>
      </c>
      <c r="K59" s="1">
        <v>0.94199999999999995</v>
      </c>
      <c r="L59">
        <f t="shared" si="4"/>
        <v>0.76600000000000001</v>
      </c>
      <c r="M59" s="1">
        <v>0.93899999999999995</v>
      </c>
      <c r="N59">
        <f t="shared" si="5"/>
        <v>0.77199999999999991</v>
      </c>
      <c r="O59" s="1">
        <v>1.2290000000000001</v>
      </c>
      <c r="P59">
        <f t="shared" si="6"/>
        <v>1.0620000000000001</v>
      </c>
      <c r="Q59" s="1">
        <v>1.214</v>
      </c>
      <c r="R59">
        <f t="shared" si="7"/>
        <v>1.0429999999999999</v>
      </c>
      <c r="S59" s="1">
        <v>1.234</v>
      </c>
      <c r="T59">
        <f t="shared" si="8"/>
        <v>1.038</v>
      </c>
      <c r="U59" s="1">
        <v>1.4830000000000001</v>
      </c>
      <c r="V59">
        <f t="shared" si="9"/>
        <v>1.2930000000000001</v>
      </c>
      <c r="W59" s="1">
        <v>1.476</v>
      </c>
      <c r="X59">
        <f t="shared" si="10"/>
        <v>1.292</v>
      </c>
      <c r="Y59" s="1">
        <v>1.4670000000000001</v>
      </c>
      <c r="Z59">
        <f t="shared" si="11"/>
        <v>1.24</v>
      </c>
      <c r="AA59" s="1">
        <v>1.2290000000000001</v>
      </c>
      <c r="AB59">
        <f t="shared" si="12"/>
        <v>1.0370000000000001</v>
      </c>
      <c r="AC59" s="1">
        <v>1.19</v>
      </c>
      <c r="AD59">
        <f t="shared" si="13"/>
        <v>1.0149999999999999</v>
      </c>
      <c r="AE59" s="1">
        <v>1.22</v>
      </c>
      <c r="AF59">
        <f t="shared" si="14"/>
        <v>1.004</v>
      </c>
      <c r="AG59">
        <v>1.1100000000000001</v>
      </c>
      <c r="AH59">
        <f t="shared" si="15"/>
        <v>0.94600000000000006</v>
      </c>
      <c r="AI59">
        <v>1.135</v>
      </c>
      <c r="AJ59">
        <f t="shared" si="16"/>
        <v>0.95900000000000007</v>
      </c>
      <c r="AK59">
        <v>1.155</v>
      </c>
      <c r="AL59">
        <f t="shared" si="17"/>
        <v>0.95199999999999996</v>
      </c>
      <c r="AM59" s="1">
        <v>0.126</v>
      </c>
      <c r="AN59" s="2">
        <f t="shared" si="18"/>
        <v>1.4999999999999999E-2</v>
      </c>
      <c r="AO59" s="1">
        <v>0.122</v>
      </c>
      <c r="AP59" s="2">
        <f t="shared" si="19"/>
        <v>1.2999999999999998E-2</v>
      </c>
      <c r="AQ59" s="1">
        <v>0.14499999999999999</v>
      </c>
      <c r="AR59" s="2">
        <f t="shared" si="20"/>
        <v>3.2999999999999988E-2</v>
      </c>
      <c r="AS59" s="1">
        <v>1.089</v>
      </c>
      <c r="AT59" s="2">
        <f t="shared" si="21"/>
        <v>0.89300000000000002</v>
      </c>
      <c r="AU59" s="1">
        <v>0.90800000000000003</v>
      </c>
      <c r="AV59" s="2">
        <f t="shared" si="22"/>
        <v>0.71</v>
      </c>
      <c r="AW59" s="1">
        <v>0.93200000000000005</v>
      </c>
      <c r="AX59" s="2">
        <f t="shared" si="23"/>
        <v>0.72600000000000009</v>
      </c>
      <c r="AY59" s="1">
        <v>1.47</v>
      </c>
      <c r="AZ59">
        <f t="shared" si="24"/>
        <v>1.2609999999999999</v>
      </c>
      <c r="BA59" s="1">
        <v>1.1659999999999999</v>
      </c>
      <c r="BB59">
        <f t="shared" si="25"/>
        <v>0.96</v>
      </c>
      <c r="BC59" s="1">
        <v>1.1299999999999999</v>
      </c>
      <c r="BD59">
        <f t="shared" si="26"/>
        <v>0.91599999999999993</v>
      </c>
      <c r="BE59" s="1">
        <v>1.6459999999999999</v>
      </c>
      <c r="BF59">
        <f t="shared" si="27"/>
        <v>1.4289999999999998</v>
      </c>
      <c r="BG59" s="1">
        <v>1.337</v>
      </c>
      <c r="BH59">
        <f t="shared" si="28"/>
        <v>1.1319999999999999</v>
      </c>
      <c r="BI59" s="1">
        <v>1.3129999999999999</v>
      </c>
      <c r="BJ59">
        <f t="shared" si="29"/>
        <v>1.107</v>
      </c>
      <c r="BK59" s="1">
        <v>1.4359999999999999</v>
      </c>
      <c r="BL59">
        <f t="shared" si="30"/>
        <v>1.2169999999999999</v>
      </c>
      <c r="BM59" s="1">
        <v>1.294</v>
      </c>
      <c r="BN59">
        <f t="shared" si="31"/>
        <v>1.0780000000000001</v>
      </c>
      <c r="BO59" s="1">
        <v>1.3080000000000001</v>
      </c>
      <c r="BP59">
        <f t="shared" si="32"/>
        <v>1.087</v>
      </c>
      <c r="BQ59">
        <v>1.397</v>
      </c>
      <c r="BR59">
        <f t="shared" si="33"/>
        <v>1.1779999999999999</v>
      </c>
      <c r="BS59">
        <v>1.157</v>
      </c>
      <c r="BT59">
        <f t="shared" si="34"/>
        <v>0.95500000000000007</v>
      </c>
      <c r="BU59">
        <v>1.1599999999999999</v>
      </c>
      <c r="BV59">
        <f t="shared" si="35"/>
        <v>0.93599999999999994</v>
      </c>
      <c r="BW59" s="1">
        <v>0.115</v>
      </c>
      <c r="BX59" s="2">
        <f t="shared" si="36"/>
        <v>-4.3999999999999997E-2</v>
      </c>
      <c r="BY59" s="1">
        <v>0.109</v>
      </c>
      <c r="BZ59" s="2">
        <f t="shared" si="37"/>
        <v>5.0000000000000044E-3</v>
      </c>
      <c r="CA59" s="1">
        <v>0.189</v>
      </c>
      <c r="CB59" s="2">
        <f t="shared" si="38"/>
        <v>-0.3</v>
      </c>
      <c r="CC59" s="1">
        <v>0.91</v>
      </c>
      <c r="CD59" s="2">
        <f t="shared" si="39"/>
        <v>0.69500000000000006</v>
      </c>
      <c r="CE59" s="1">
        <v>0.87</v>
      </c>
      <c r="CF59" s="2">
        <f t="shared" si="40"/>
        <v>0.68799999999999994</v>
      </c>
      <c r="CG59" s="1">
        <v>0.97</v>
      </c>
      <c r="CH59" s="2">
        <f t="shared" si="41"/>
        <v>0.77899999999999991</v>
      </c>
      <c r="CI59" s="1">
        <v>1.206</v>
      </c>
      <c r="CJ59">
        <f t="shared" si="42"/>
        <v>0.996</v>
      </c>
      <c r="CK59" s="1">
        <v>1.2170000000000001</v>
      </c>
      <c r="CL59">
        <f t="shared" si="43"/>
        <v>1.022</v>
      </c>
      <c r="CM59" s="1">
        <v>1.19</v>
      </c>
      <c r="CN59">
        <f t="shared" si="44"/>
        <v>0.98299999999999998</v>
      </c>
      <c r="CO59" s="1">
        <v>1.3580000000000001</v>
      </c>
      <c r="CP59">
        <f t="shared" si="45"/>
        <v>1.141</v>
      </c>
      <c r="CQ59" s="1">
        <v>1.339</v>
      </c>
      <c r="CR59">
        <f t="shared" si="46"/>
        <v>1.1399999999999999</v>
      </c>
      <c r="CS59" s="1">
        <v>1.319</v>
      </c>
      <c r="CT59">
        <f t="shared" si="47"/>
        <v>1.119</v>
      </c>
      <c r="CU59" s="1">
        <v>1.1180000000000001</v>
      </c>
      <c r="CV59">
        <f t="shared" si="48"/>
        <v>0.89800000000000013</v>
      </c>
      <c r="CW59" s="1">
        <v>1.1060000000000001</v>
      </c>
      <c r="CX59">
        <f t="shared" si="49"/>
        <v>0.90000000000000013</v>
      </c>
      <c r="CY59" s="1">
        <v>1.1439999999999999</v>
      </c>
      <c r="CZ59">
        <f t="shared" si="50"/>
        <v>0.93599999999999994</v>
      </c>
      <c r="DA59">
        <v>1.1040000000000001</v>
      </c>
      <c r="DB59">
        <f t="shared" si="51"/>
        <v>0.88800000000000012</v>
      </c>
      <c r="DC59">
        <v>1.099</v>
      </c>
      <c r="DD59">
        <f t="shared" si="52"/>
        <v>0.89599999999999991</v>
      </c>
      <c r="DE59">
        <v>1.1140000000000001</v>
      </c>
      <c r="DF59">
        <f t="shared" si="53"/>
        <v>0.90900000000000014</v>
      </c>
    </row>
    <row r="60" spans="1:110">
      <c r="A60" t="s">
        <v>171</v>
      </c>
      <c r="B60" t="s">
        <v>172</v>
      </c>
      <c r="C60" s="1">
        <v>9.8000000000000004E-2</v>
      </c>
      <c r="D60" s="1">
        <f t="shared" si="0"/>
        <v>-2.5999999999999995E-2</v>
      </c>
      <c r="E60" s="1">
        <v>0.108</v>
      </c>
      <c r="F60">
        <f t="shared" si="1"/>
        <v>-9.999999999999995E-3</v>
      </c>
      <c r="G60" s="1">
        <v>0.1</v>
      </c>
      <c r="H60">
        <f t="shared" si="2"/>
        <v>-3.4000000000000002E-2</v>
      </c>
      <c r="I60" s="1">
        <v>1.0369999999999999</v>
      </c>
      <c r="J60">
        <f t="shared" si="3"/>
        <v>0.86499999999999999</v>
      </c>
      <c r="K60" s="1">
        <v>1.1539999999999999</v>
      </c>
      <c r="L60">
        <f t="shared" si="4"/>
        <v>0.97799999999999998</v>
      </c>
      <c r="M60" s="1">
        <v>1.1080000000000001</v>
      </c>
      <c r="N60">
        <f t="shared" si="5"/>
        <v>0.94100000000000006</v>
      </c>
      <c r="O60" s="1">
        <v>1.532</v>
      </c>
      <c r="P60">
        <f t="shared" si="6"/>
        <v>1.365</v>
      </c>
      <c r="Q60" s="1">
        <v>1.542</v>
      </c>
      <c r="R60">
        <f t="shared" si="7"/>
        <v>1.371</v>
      </c>
      <c r="S60" s="1">
        <v>1.4770000000000001</v>
      </c>
      <c r="T60">
        <f t="shared" si="8"/>
        <v>1.2810000000000001</v>
      </c>
      <c r="U60" s="1">
        <v>1.76</v>
      </c>
      <c r="V60">
        <f t="shared" si="9"/>
        <v>1.57</v>
      </c>
      <c r="W60" s="1">
        <v>1.5089999999999999</v>
      </c>
      <c r="X60">
        <f t="shared" si="10"/>
        <v>1.325</v>
      </c>
      <c r="Y60" s="1">
        <v>1.534</v>
      </c>
      <c r="Z60">
        <f t="shared" si="11"/>
        <v>1.3069999999999999</v>
      </c>
      <c r="AA60" s="1">
        <v>1.357</v>
      </c>
      <c r="AB60">
        <f t="shared" si="12"/>
        <v>1.165</v>
      </c>
      <c r="AC60" s="1">
        <v>1.339</v>
      </c>
      <c r="AD60">
        <f t="shared" si="13"/>
        <v>1.1639999999999999</v>
      </c>
      <c r="AE60" s="1">
        <v>1.3220000000000001</v>
      </c>
      <c r="AF60">
        <f t="shared" si="14"/>
        <v>1.1060000000000001</v>
      </c>
      <c r="AG60">
        <v>1.222</v>
      </c>
      <c r="AH60">
        <f t="shared" si="15"/>
        <v>1.0580000000000001</v>
      </c>
      <c r="AI60">
        <v>1.3520000000000001</v>
      </c>
      <c r="AJ60">
        <f t="shared" si="16"/>
        <v>1.1760000000000002</v>
      </c>
      <c r="AK60">
        <v>1.464</v>
      </c>
      <c r="AL60">
        <f t="shared" si="17"/>
        <v>1.2609999999999999</v>
      </c>
      <c r="AM60" s="1">
        <v>0.104</v>
      </c>
      <c r="AN60" s="2">
        <f t="shared" si="18"/>
        <v>-7.0000000000000062E-3</v>
      </c>
      <c r="AO60" s="1">
        <v>0.107</v>
      </c>
      <c r="AP60" s="2">
        <f t="shared" si="19"/>
        <v>-2.0000000000000018E-3</v>
      </c>
      <c r="AQ60" s="1">
        <v>0.11</v>
      </c>
      <c r="AR60" s="2">
        <f t="shared" si="20"/>
        <v>-2.0000000000000018E-3</v>
      </c>
      <c r="AS60" s="1">
        <v>1.004</v>
      </c>
      <c r="AT60" s="2">
        <f t="shared" si="21"/>
        <v>0.80800000000000005</v>
      </c>
      <c r="AU60" s="1">
        <v>1.0580000000000001</v>
      </c>
      <c r="AV60" s="2">
        <f t="shared" si="22"/>
        <v>0.8600000000000001</v>
      </c>
      <c r="AW60" s="1">
        <v>1.0640000000000001</v>
      </c>
      <c r="AX60" s="2">
        <f t="shared" si="23"/>
        <v>0.8580000000000001</v>
      </c>
      <c r="AY60" s="1">
        <v>1.3979999999999999</v>
      </c>
      <c r="AZ60">
        <f t="shared" si="24"/>
        <v>1.1889999999999998</v>
      </c>
      <c r="BA60" s="1">
        <v>1.4259999999999999</v>
      </c>
      <c r="BB60">
        <f t="shared" si="25"/>
        <v>1.22</v>
      </c>
      <c r="BC60" s="1">
        <v>1.4570000000000001</v>
      </c>
      <c r="BD60">
        <f t="shared" si="26"/>
        <v>1.2430000000000001</v>
      </c>
      <c r="BE60" s="1">
        <v>1.5069999999999999</v>
      </c>
      <c r="BF60">
        <f t="shared" si="27"/>
        <v>1.2899999999999998</v>
      </c>
      <c r="BG60" s="1">
        <v>1.52</v>
      </c>
      <c r="BH60">
        <f t="shared" si="28"/>
        <v>1.3149999999999999</v>
      </c>
      <c r="BI60" s="1">
        <v>1.58</v>
      </c>
      <c r="BJ60">
        <f t="shared" si="29"/>
        <v>1.3740000000000001</v>
      </c>
      <c r="BK60" s="1">
        <v>1.4830000000000001</v>
      </c>
      <c r="BL60">
        <f t="shared" si="30"/>
        <v>1.264</v>
      </c>
      <c r="BM60" s="1">
        <v>1.4770000000000001</v>
      </c>
      <c r="BN60">
        <f t="shared" si="31"/>
        <v>1.2610000000000001</v>
      </c>
      <c r="BO60" s="1">
        <v>1.536</v>
      </c>
      <c r="BP60">
        <f t="shared" si="32"/>
        <v>1.3149999999999999</v>
      </c>
      <c r="BQ60">
        <v>1.423</v>
      </c>
      <c r="BR60">
        <f t="shared" si="33"/>
        <v>1.204</v>
      </c>
      <c r="BS60">
        <v>1.4279999999999999</v>
      </c>
      <c r="BT60">
        <f t="shared" si="34"/>
        <v>1.226</v>
      </c>
      <c r="BU60">
        <v>1.4570000000000001</v>
      </c>
      <c r="BV60">
        <f t="shared" si="35"/>
        <v>1.2330000000000001</v>
      </c>
      <c r="BW60" s="1">
        <v>0.10199999999999999</v>
      </c>
      <c r="BX60" s="2">
        <f t="shared" si="36"/>
        <v>-5.7000000000000009E-2</v>
      </c>
      <c r="BY60" s="1">
        <v>0.10199999999999999</v>
      </c>
      <c r="BZ60" s="2">
        <f t="shared" si="37"/>
        <v>-2.0000000000000018E-3</v>
      </c>
      <c r="CA60" s="1">
        <v>0.1</v>
      </c>
      <c r="CB60" s="2">
        <f t="shared" si="38"/>
        <v>-0.38900000000000001</v>
      </c>
      <c r="CC60" s="1">
        <v>1.0049999999999999</v>
      </c>
      <c r="CD60" s="2">
        <f t="shared" si="39"/>
        <v>0.78999999999999992</v>
      </c>
      <c r="CE60" s="1">
        <v>0.95</v>
      </c>
      <c r="CF60" s="2">
        <f t="shared" si="40"/>
        <v>0.76800000000000002</v>
      </c>
      <c r="CG60" s="1">
        <v>0.89600000000000002</v>
      </c>
      <c r="CH60" s="2">
        <f t="shared" si="41"/>
        <v>0.70500000000000007</v>
      </c>
      <c r="CI60" s="1">
        <v>1.302</v>
      </c>
      <c r="CJ60">
        <f t="shared" si="42"/>
        <v>1.0920000000000001</v>
      </c>
      <c r="CK60" s="1">
        <v>1.3080000000000001</v>
      </c>
      <c r="CL60">
        <f t="shared" si="43"/>
        <v>1.113</v>
      </c>
      <c r="CM60" s="1">
        <v>1.21</v>
      </c>
      <c r="CN60">
        <f t="shared" si="44"/>
        <v>1.0029999999999999</v>
      </c>
      <c r="CO60" s="1">
        <v>1.458</v>
      </c>
      <c r="CP60">
        <f t="shared" si="45"/>
        <v>1.2409999999999999</v>
      </c>
      <c r="CQ60" s="1">
        <v>1.49</v>
      </c>
      <c r="CR60">
        <f t="shared" si="46"/>
        <v>1.2909999999999999</v>
      </c>
      <c r="CS60" s="1">
        <v>1.369</v>
      </c>
      <c r="CT60">
        <f t="shared" si="47"/>
        <v>1.169</v>
      </c>
      <c r="CU60" s="1">
        <v>1.429</v>
      </c>
      <c r="CV60">
        <f t="shared" si="48"/>
        <v>1.2090000000000001</v>
      </c>
      <c r="CW60" s="1">
        <v>1.4850000000000001</v>
      </c>
      <c r="CX60">
        <f t="shared" si="49"/>
        <v>1.2790000000000001</v>
      </c>
      <c r="CY60" s="1">
        <v>1.466</v>
      </c>
      <c r="CZ60">
        <f t="shared" si="50"/>
        <v>1.258</v>
      </c>
      <c r="DA60">
        <v>1.371</v>
      </c>
      <c r="DB60">
        <f t="shared" si="51"/>
        <v>1.155</v>
      </c>
      <c r="DC60">
        <v>1.4279999999999999</v>
      </c>
      <c r="DD60">
        <f t="shared" si="52"/>
        <v>1.2249999999999999</v>
      </c>
      <c r="DE60">
        <v>1.5129999999999999</v>
      </c>
      <c r="DF60">
        <f t="shared" si="53"/>
        <v>1.3079999999999998</v>
      </c>
    </row>
    <row r="61" spans="1:110">
      <c r="A61" t="s">
        <v>173</v>
      </c>
      <c r="B61" t="s">
        <v>174</v>
      </c>
      <c r="C61" s="1">
        <v>0.121</v>
      </c>
      <c r="D61" s="1">
        <f t="shared" si="0"/>
        <v>-3.0000000000000027E-3</v>
      </c>
      <c r="E61" s="1">
        <v>0.14199999999999999</v>
      </c>
      <c r="F61">
        <f t="shared" si="1"/>
        <v>2.3999999999999994E-2</v>
      </c>
      <c r="G61" s="1">
        <v>0.14599999999999999</v>
      </c>
      <c r="H61">
        <f t="shared" si="2"/>
        <v>1.1999999999999983E-2</v>
      </c>
      <c r="I61" s="1">
        <v>0.57099999999999995</v>
      </c>
      <c r="J61">
        <f t="shared" si="3"/>
        <v>0.39899999999999997</v>
      </c>
      <c r="K61" s="1">
        <v>0.52100000000000002</v>
      </c>
      <c r="L61">
        <f t="shared" si="4"/>
        <v>0.34500000000000003</v>
      </c>
      <c r="M61" s="1">
        <v>0.61299999999999999</v>
      </c>
      <c r="N61">
        <f t="shared" si="5"/>
        <v>0.44599999999999995</v>
      </c>
      <c r="O61" s="1">
        <v>0.48899999999999999</v>
      </c>
      <c r="P61">
        <f t="shared" si="6"/>
        <v>0.32199999999999995</v>
      </c>
      <c r="Q61" s="1">
        <v>0.44900000000000001</v>
      </c>
      <c r="R61">
        <f t="shared" si="7"/>
        <v>0.27800000000000002</v>
      </c>
      <c r="S61" s="1">
        <v>0.504</v>
      </c>
      <c r="T61">
        <f t="shared" si="8"/>
        <v>0.308</v>
      </c>
      <c r="U61" s="1">
        <v>0.48699999999999999</v>
      </c>
      <c r="V61">
        <f t="shared" si="9"/>
        <v>0.29699999999999999</v>
      </c>
      <c r="W61" s="1">
        <v>0.434</v>
      </c>
      <c r="X61">
        <f t="shared" si="10"/>
        <v>0.25</v>
      </c>
      <c r="Y61" s="1">
        <v>0.48499999999999999</v>
      </c>
      <c r="Z61">
        <f t="shared" si="11"/>
        <v>0.25800000000000001</v>
      </c>
      <c r="AA61" s="1">
        <v>0.47899999999999998</v>
      </c>
      <c r="AB61">
        <f t="shared" si="12"/>
        <v>0.28699999999999998</v>
      </c>
      <c r="AC61" s="1">
        <v>0.42599999999999999</v>
      </c>
      <c r="AD61">
        <f t="shared" si="13"/>
        <v>0.251</v>
      </c>
      <c r="AE61" s="1">
        <v>0.48499999999999999</v>
      </c>
      <c r="AF61">
        <f t="shared" si="14"/>
        <v>0.26900000000000002</v>
      </c>
      <c r="AG61">
        <v>0.46600000000000003</v>
      </c>
      <c r="AH61">
        <f t="shared" si="15"/>
        <v>0.30200000000000005</v>
      </c>
      <c r="AI61">
        <v>0.42099999999999999</v>
      </c>
      <c r="AJ61">
        <f t="shared" si="16"/>
        <v>0.245</v>
      </c>
      <c r="AK61">
        <v>0.47799999999999998</v>
      </c>
      <c r="AL61">
        <f t="shared" si="17"/>
        <v>0.27499999999999997</v>
      </c>
      <c r="AM61" s="1">
        <v>0.13400000000000001</v>
      </c>
      <c r="AN61" s="2">
        <f t="shared" si="18"/>
        <v>2.3000000000000007E-2</v>
      </c>
      <c r="AO61" s="1">
        <v>0.13300000000000001</v>
      </c>
      <c r="AP61" s="2">
        <f t="shared" si="19"/>
        <v>2.4000000000000007E-2</v>
      </c>
      <c r="AQ61" s="1">
        <v>0.18</v>
      </c>
      <c r="AR61" s="2">
        <f t="shared" si="20"/>
        <v>6.7999999999999991E-2</v>
      </c>
      <c r="AS61" s="1">
        <v>0.72499999999999998</v>
      </c>
      <c r="AT61" s="2">
        <f t="shared" si="21"/>
        <v>0.52899999999999991</v>
      </c>
      <c r="AU61" s="1">
        <v>0.70799999999999996</v>
      </c>
      <c r="AV61" s="2">
        <f t="shared" si="22"/>
        <v>0.51</v>
      </c>
      <c r="AW61" s="1">
        <v>0.69499999999999995</v>
      </c>
      <c r="AX61" s="2">
        <f t="shared" si="23"/>
        <v>0.48899999999999999</v>
      </c>
      <c r="AY61" s="1">
        <v>0.77600000000000002</v>
      </c>
      <c r="AZ61">
        <f t="shared" si="24"/>
        <v>0.56700000000000006</v>
      </c>
      <c r="BA61" s="1">
        <v>0.67600000000000005</v>
      </c>
      <c r="BB61">
        <f t="shared" si="25"/>
        <v>0.47000000000000008</v>
      </c>
      <c r="BC61" s="1">
        <v>0.67400000000000004</v>
      </c>
      <c r="BD61">
        <f t="shared" si="26"/>
        <v>0.46000000000000008</v>
      </c>
      <c r="BE61" s="1">
        <v>0.76700000000000002</v>
      </c>
      <c r="BF61">
        <f t="shared" si="27"/>
        <v>0.55000000000000004</v>
      </c>
      <c r="BG61" s="1">
        <v>0.66200000000000003</v>
      </c>
      <c r="BH61">
        <f t="shared" si="28"/>
        <v>0.45700000000000007</v>
      </c>
      <c r="BI61" s="1">
        <v>0.66500000000000004</v>
      </c>
      <c r="BJ61">
        <f t="shared" si="29"/>
        <v>0.45900000000000007</v>
      </c>
      <c r="BK61" s="1">
        <v>0.752</v>
      </c>
      <c r="BL61">
        <f t="shared" si="30"/>
        <v>0.53300000000000003</v>
      </c>
      <c r="BM61" s="1">
        <v>0.65</v>
      </c>
      <c r="BN61">
        <f t="shared" si="31"/>
        <v>0.43400000000000005</v>
      </c>
      <c r="BO61" s="1">
        <v>0.64800000000000002</v>
      </c>
      <c r="BP61">
        <f t="shared" si="32"/>
        <v>0.42700000000000005</v>
      </c>
      <c r="BQ61">
        <v>0.73899999999999999</v>
      </c>
      <c r="BR61">
        <f t="shared" si="33"/>
        <v>0.52</v>
      </c>
      <c r="BS61">
        <v>0.64900000000000002</v>
      </c>
      <c r="BT61">
        <f t="shared" si="34"/>
        <v>0.44700000000000001</v>
      </c>
      <c r="BU61">
        <v>0.64200000000000002</v>
      </c>
      <c r="BV61">
        <f t="shared" si="35"/>
        <v>0.41800000000000004</v>
      </c>
      <c r="BW61" s="1">
        <v>0.13700000000000001</v>
      </c>
      <c r="BX61" s="2">
        <f t="shared" si="36"/>
        <v>-2.1999999999999992E-2</v>
      </c>
      <c r="BY61" s="1">
        <v>0.13400000000000001</v>
      </c>
      <c r="BZ61" s="2">
        <f t="shared" si="37"/>
        <v>3.0000000000000013E-2</v>
      </c>
      <c r="CA61" s="1">
        <v>0.14699999999999999</v>
      </c>
      <c r="CB61" s="2">
        <f t="shared" si="38"/>
        <v>-0.34199999999999997</v>
      </c>
      <c r="CC61" s="1">
        <v>0.71399999999999997</v>
      </c>
      <c r="CD61" s="2">
        <f t="shared" si="39"/>
        <v>0.499</v>
      </c>
      <c r="CE61" s="1">
        <v>0.64</v>
      </c>
      <c r="CF61" s="2">
        <f t="shared" si="40"/>
        <v>0.45800000000000002</v>
      </c>
      <c r="CG61" s="1">
        <v>0.66900000000000004</v>
      </c>
      <c r="CH61" s="2">
        <f t="shared" si="41"/>
        <v>0.47800000000000004</v>
      </c>
      <c r="CI61" s="1">
        <v>0.75600000000000001</v>
      </c>
      <c r="CJ61">
        <f t="shared" si="42"/>
        <v>0.54600000000000004</v>
      </c>
      <c r="CK61" s="1">
        <v>0.65800000000000003</v>
      </c>
      <c r="CL61">
        <f t="shared" si="43"/>
        <v>0.46300000000000002</v>
      </c>
      <c r="CM61" s="1">
        <v>0.752</v>
      </c>
      <c r="CN61">
        <f t="shared" si="44"/>
        <v>0.54500000000000004</v>
      </c>
      <c r="CO61" s="1">
        <v>0.747</v>
      </c>
      <c r="CP61">
        <f t="shared" si="45"/>
        <v>0.53</v>
      </c>
      <c r="CQ61" s="1">
        <v>0.65100000000000002</v>
      </c>
      <c r="CR61">
        <f t="shared" si="46"/>
        <v>0.45200000000000001</v>
      </c>
      <c r="CS61" s="1">
        <v>0.74099999999999999</v>
      </c>
      <c r="CT61">
        <f t="shared" si="47"/>
        <v>0.54099999999999993</v>
      </c>
      <c r="CU61" s="1">
        <v>0.73099999999999998</v>
      </c>
      <c r="CV61">
        <f t="shared" si="48"/>
        <v>0.51100000000000001</v>
      </c>
      <c r="CW61" s="1">
        <v>0.63800000000000001</v>
      </c>
      <c r="CX61">
        <f t="shared" si="49"/>
        <v>0.43200000000000005</v>
      </c>
      <c r="CY61" s="1">
        <v>0.72499999999999998</v>
      </c>
      <c r="CZ61">
        <f t="shared" si="50"/>
        <v>0.51700000000000002</v>
      </c>
      <c r="DA61">
        <v>0.72899999999999998</v>
      </c>
      <c r="DB61">
        <f t="shared" si="51"/>
        <v>0.51300000000000001</v>
      </c>
      <c r="DC61">
        <v>0.63400000000000001</v>
      </c>
      <c r="DD61">
        <f t="shared" si="52"/>
        <v>0.43099999999999999</v>
      </c>
      <c r="DE61">
        <v>0.72099999999999997</v>
      </c>
      <c r="DF61">
        <f t="shared" si="53"/>
        <v>0.51600000000000001</v>
      </c>
    </row>
    <row r="62" spans="1:110">
      <c r="A62" t="s">
        <v>175</v>
      </c>
      <c r="B62" t="s">
        <v>176</v>
      </c>
      <c r="C62" s="1">
        <v>0.107</v>
      </c>
      <c r="D62" s="1">
        <f t="shared" si="0"/>
        <v>-1.7000000000000001E-2</v>
      </c>
      <c r="E62" s="1">
        <v>0.126</v>
      </c>
      <c r="F62">
        <f t="shared" si="1"/>
        <v>8.0000000000000071E-3</v>
      </c>
      <c r="G62" s="1">
        <v>0.16600000000000001</v>
      </c>
      <c r="H62">
        <f t="shared" si="2"/>
        <v>3.2000000000000001E-2</v>
      </c>
      <c r="I62" s="1">
        <v>0.19600000000000001</v>
      </c>
      <c r="J62">
        <f t="shared" si="3"/>
        <v>2.4000000000000021E-2</v>
      </c>
      <c r="K62" s="1">
        <v>0.23300000000000001</v>
      </c>
      <c r="L62">
        <f t="shared" si="4"/>
        <v>5.7000000000000023E-2</v>
      </c>
      <c r="M62" s="1">
        <v>0.222</v>
      </c>
      <c r="N62">
        <f t="shared" si="5"/>
        <v>5.4999999999999993E-2</v>
      </c>
      <c r="O62" s="1">
        <v>0.183</v>
      </c>
      <c r="P62">
        <f t="shared" si="6"/>
        <v>1.5999999999999986E-2</v>
      </c>
      <c r="Q62" s="1">
        <v>0.21099999999999999</v>
      </c>
      <c r="R62">
        <f t="shared" si="7"/>
        <v>3.999999999999998E-2</v>
      </c>
      <c r="S62" s="1">
        <v>0.19500000000000001</v>
      </c>
      <c r="T62">
        <f t="shared" si="8"/>
        <v>-1.0000000000000009E-3</v>
      </c>
      <c r="U62" s="1">
        <v>0.183</v>
      </c>
      <c r="V62">
        <f t="shared" si="9"/>
        <v>-7.0000000000000062E-3</v>
      </c>
      <c r="W62" s="1">
        <v>0.215</v>
      </c>
      <c r="X62">
        <f t="shared" si="10"/>
        <v>3.1E-2</v>
      </c>
      <c r="Y62" s="1">
        <v>0.19700000000000001</v>
      </c>
      <c r="Z62">
        <f t="shared" si="11"/>
        <v>-0.03</v>
      </c>
      <c r="AA62" s="1">
        <v>0.182</v>
      </c>
      <c r="AB62">
        <f t="shared" si="12"/>
        <v>-1.0000000000000009E-2</v>
      </c>
      <c r="AC62" s="1">
        <v>0.218</v>
      </c>
      <c r="AD62">
        <f t="shared" si="13"/>
        <v>4.300000000000001E-2</v>
      </c>
      <c r="AE62" s="1">
        <v>0.2</v>
      </c>
      <c r="AF62">
        <f t="shared" si="14"/>
        <v>-1.5999999999999986E-2</v>
      </c>
      <c r="AG62">
        <v>0.17799999999999999</v>
      </c>
      <c r="AH62">
        <f t="shared" si="15"/>
        <v>1.3999999999999985E-2</v>
      </c>
      <c r="AI62">
        <v>0.214</v>
      </c>
      <c r="AJ62">
        <f t="shared" si="16"/>
        <v>3.8000000000000006E-2</v>
      </c>
      <c r="AK62">
        <v>0.20100000000000001</v>
      </c>
      <c r="AL62">
        <f t="shared" si="17"/>
        <v>-2.0000000000000018E-3</v>
      </c>
      <c r="AM62" s="1">
        <v>0.112</v>
      </c>
      <c r="AN62" s="2">
        <f t="shared" si="18"/>
        <v>1.0000000000000009E-3</v>
      </c>
      <c r="AO62" s="1">
        <v>0.122</v>
      </c>
      <c r="AP62" s="2">
        <f t="shared" si="19"/>
        <v>1.2999999999999998E-2</v>
      </c>
      <c r="AQ62" s="1">
        <v>0.22</v>
      </c>
      <c r="AR62" s="2">
        <f t="shared" si="20"/>
        <v>0.108</v>
      </c>
      <c r="AS62" s="1">
        <v>0.26900000000000002</v>
      </c>
      <c r="AT62" s="2">
        <f t="shared" si="21"/>
        <v>7.3000000000000009E-2</v>
      </c>
      <c r="AU62" s="1">
        <v>0.27</v>
      </c>
      <c r="AV62" s="2">
        <f t="shared" si="22"/>
        <v>7.2000000000000008E-2</v>
      </c>
      <c r="AW62" s="1">
        <v>0.30299999999999999</v>
      </c>
      <c r="AX62" s="2">
        <f t="shared" si="23"/>
        <v>9.7000000000000003E-2</v>
      </c>
      <c r="AY62" s="1">
        <v>0.28299999999999997</v>
      </c>
      <c r="AZ62">
        <f t="shared" si="24"/>
        <v>7.3999999999999982E-2</v>
      </c>
      <c r="BA62" s="1">
        <v>0.27500000000000002</v>
      </c>
      <c r="BB62">
        <f t="shared" si="25"/>
        <v>6.9000000000000034E-2</v>
      </c>
      <c r="BC62" s="1">
        <v>0.26500000000000001</v>
      </c>
      <c r="BD62">
        <f t="shared" si="26"/>
        <v>5.1000000000000018E-2</v>
      </c>
      <c r="BE62" s="1">
        <v>0.28599999999999998</v>
      </c>
      <c r="BF62">
        <f t="shared" si="27"/>
        <v>6.8999999999999978E-2</v>
      </c>
      <c r="BG62" s="1">
        <v>0.27800000000000002</v>
      </c>
      <c r="BH62">
        <f t="shared" si="28"/>
        <v>7.3000000000000037E-2</v>
      </c>
      <c r="BI62" s="1">
        <v>0.28100000000000003</v>
      </c>
      <c r="BJ62">
        <f t="shared" si="29"/>
        <v>7.5000000000000039E-2</v>
      </c>
      <c r="BK62" s="1">
        <v>0.28599999999999998</v>
      </c>
      <c r="BL62">
        <f t="shared" si="30"/>
        <v>6.6999999999999976E-2</v>
      </c>
      <c r="BM62" s="1">
        <v>0.27400000000000002</v>
      </c>
      <c r="BN62">
        <f t="shared" si="31"/>
        <v>5.8000000000000024E-2</v>
      </c>
      <c r="BO62" s="1">
        <v>0.26500000000000001</v>
      </c>
      <c r="BP62">
        <f t="shared" si="32"/>
        <v>4.4000000000000011E-2</v>
      </c>
      <c r="BQ62">
        <v>0.28499999999999998</v>
      </c>
      <c r="BR62">
        <f t="shared" si="33"/>
        <v>6.5999999999999975E-2</v>
      </c>
      <c r="BS62">
        <v>0.28199999999999997</v>
      </c>
      <c r="BT62">
        <f t="shared" si="34"/>
        <v>7.999999999999996E-2</v>
      </c>
      <c r="BU62">
        <v>0.26300000000000001</v>
      </c>
      <c r="BV62">
        <f t="shared" si="35"/>
        <v>3.9000000000000007E-2</v>
      </c>
      <c r="BW62" s="1">
        <v>0.14399999999999999</v>
      </c>
      <c r="BX62" s="2">
        <f t="shared" si="36"/>
        <v>-1.5000000000000013E-2</v>
      </c>
      <c r="BY62" s="1">
        <v>0.111</v>
      </c>
      <c r="BZ62" s="2">
        <f t="shared" si="37"/>
        <v>7.0000000000000062E-3</v>
      </c>
      <c r="CA62" s="1">
        <v>0.22500000000000001</v>
      </c>
      <c r="CB62" s="2">
        <f t="shared" si="38"/>
        <v>-0.26400000000000001</v>
      </c>
      <c r="CC62" s="1">
        <v>0.22600000000000001</v>
      </c>
      <c r="CD62" s="2">
        <f t="shared" si="39"/>
        <v>1.100000000000001E-2</v>
      </c>
      <c r="CE62" s="1">
        <v>0.192</v>
      </c>
      <c r="CF62" s="2">
        <f t="shared" si="40"/>
        <v>1.0000000000000009E-2</v>
      </c>
      <c r="CG62" s="1">
        <v>0.26700000000000002</v>
      </c>
      <c r="CH62" s="2">
        <f t="shared" si="41"/>
        <v>7.6000000000000012E-2</v>
      </c>
      <c r="CI62" s="1">
        <v>0.23100000000000001</v>
      </c>
      <c r="CJ62">
        <f t="shared" si="42"/>
        <v>2.1000000000000019E-2</v>
      </c>
      <c r="CK62" s="1">
        <v>0.2</v>
      </c>
      <c r="CL62">
        <f t="shared" si="43"/>
        <v>5.0000000000000044E-3</v>
      </c>
      <c r="CM62" s="1">
        <v>0.22600000000000001</v>
      </c>
      <c r="CN62">
        <f t="shared" si="44"/>
        <v>1.9000000000000017E-2</v>
      </c>
      <c r="CO62" s="1">
        <v>0.23100000000000001</v>
      </c>
      <c r="CP62">
        <f t="shared" si="45"/>
        <v>1.4000000000000012E-2</v>
      </c>
      <c r="CQ62" s="1">
        <v>0.20200000000000001</v>
      </c>
      <c r="CR62">
        <f t="shared" si="46"/>
        <v>3.0000000000000027E-3</v>
      </c>
      <c r="CS62" s="1">
        <v>0.23699999999999999</v>
      </c>
      <c r="CT62">
        <f t="shared" si="47"/>
        <v>3.6999999999999977E-2</v>
      </c>
      <c r="CU62" s="1">
        <v>0.23</v>
      </c>
      <c r="CV62">
        <f t="shared" si="48"/>
        <v>1.0000000000000009E-2</v>
      </c>
      <c r="CW62" s="1">
        <v>0.20200000000000001</v>
      </c>
      <c r="CX62">
        <f t="shared" si="49"/>
        <v>-3.9999999999999758E-3</v>
      </c>
      <c r="CY62" s="1">
        <v>0.22700000000000001</v>
      </c>
      <c r="CZ62">
        <f t="shared" si="50"/>
        <v>1.9000000000000017E-2</v>
      </c>
      <c r="DA62">
        <v>0.223</v>
      </c>
      <c r="DB62">
        <f t="shared" si="51"/>
        <v>7.0000000000000062E-3</v>
      </c>
      <c r="DC62">
        <v>0.19800000000000001</v>
      </c>
      <c r="DD62">
        <f t="shared" si="52"/>
        <v>-5.0000000000000044E-3</v>
      </c>
      <c r="DE62">
        <v>0.26700000000000002</v>
      </c>
      <c r="DF62">
        <f t="shared" si="53"/>
        <v>6.2000000000000027E-2</v>
      </c>
    </row>
    <row r="63" spans="1:110">
      <c r="A63" t="s">
        <v>177</v>
      </c>
      <c r="B63" t="s">
        <v>178</v>
      </c>
      <c r="C63" s="1">
        <v>9.6000000000000002E-2</v>
      </c>
      <c r="D63" s="1">
        <f t="shared" si="0"/>
        <v>-2.7999999999999997E-2</v>
      </c>
      <c r="E63" s="1">
        <v>0.11600000000000001</v>
      </c>
      <c r="F63">
        <f t="shared" si="1"/>
        <v>-1.9999999999999879E-3</v>
      </c>
      <c r="G63" s="1">
        <v>0.13800000000000001</v>
      </c>
      <c r="H63">
        <f t="shared" si="2"/>
        <v>4.0000000000000036E-3</v>
      </c>
      <c r="I63" s="1">
        <v>0.19</v>
      </c>
      <c r="J63">
        <f t="shared" si="3"/>
        <v>1.8000000000000016E-2</v>
      </c>
      <c r="K63" s="1">
        <v>0.22500000000000001</v>
      </c>
      <c r="L63">
        <f t="shared" si="4"/>
        <v>4.9000000000000016E-2</v>
      </c>
      <c r="M63" s="1">
        <v>0.22800000000000001</v>
      </c>
      <c r="N63">
        <f t="shared" si="5"/>
        <v>6.0999999999999999E-2</v>
      </c>
      <c r="O63" s="1">
        <v>0.17599999999999999</v>
      </c>
      <c r="P63">
        <f t="shared" si="6"/>
        <v>8.9999999999999802E-3</v>
      </c>
      <c r="Q63" s="1">
        <v>0.22</v>
      </c>
      <c r="R63">
        <f t="shared" si="7"/>
        <v>4.8999999999999988E-2</v>
      </c>
      <c r="S63" s="1">
        <v>0.21</v>
      </c>
      <c r="T63">
        <f t="shared" si="8"/>
        <v>1.3999999999999985E-2</v>
      </c>
      <c r="U63" s="1">
        <v>0.186</v>
      </c>
      <c r="V63">
        <f t="shared" si="9"/>
        <v>-4.0000000000000036E-3</v>
      </c>
      <c r="W63" s="1">
        <v>0.23</v>
      </c>
      <c r="X63">
        <f t="shared" si="10"/>
        <v>4.6000000000000013E-2</v>
      </c>
      <c r="Y63" s="1">
        <v>0.221</v>
      </c>
      <c r="Z63">
        <f t="shared" si="11"/>
        <v>-6.0000000000000053E-3</v>
      </c>
      <c r="AA63" s="1">
        <v>0.23200000000000001</v>
      </c>
      <c r="AB63">
        <f t="shared" si="12"/>
        <v>4.0000000000000008E-2</v>
      </c>
      <c r="AC63" s="1">
        <v>0.23</v>
      </c>
      <c r="AD63">
        <f t="shared" si="13"/>
        <v>5.5000000000000021E-2</v>
      </c>
      <c r="AE63" s="1">
        <v>0.22500000000000001</v>
      </c>
      <c r="AF63">
        <f t="shared" si="14"/>
        <v>9.000000000000008E-3</v>
      </c>
      <c r="AG63">
        <v>0.187</v>
      </c>
      <c r="AH63">
        <f t="shared" si="15"/>
        <v>2.2999999999999993E-2</v>
      </c>
      <c r="AI63">
        <v>0.22500000000000001</v>
      </c>
      <c r="AJ63">
        <f t="shared" si="16"/>
        <v>4.9000000000000016E-2</v>
      </c>
      <c r="AK63">
        <v>0.22500000000000001</v>
      </c>
      <c r="AL63">
        <f t="shared" si="17"/>
        <v>2.1999999999999992E-2</v>
      </c>
      <c r="AM63" s="1">
        <v>0.105</v>
      </c>
      <c r="AN63" s="2">
        <f t="shared" si="18"/>
        <v>-6.0000000000000053E-3</v>
      </c>
      <c r="AO63" s="1">
        <v>0.11600000000000001</v>
      </c>
      <c r="AP63" s="2">
        <f t="shared" si="19"/>
        <v>7.0000000000000062E-3</v>
      </c>
      <c r="AQ63" s="1">
        <v>0.182</v>
      </c>
      <c r="AR63" s="2">
        <f t="shared" si="20"/>
        <v>6.9999999999999993E-2</v>
      </c>
      <c r="AS63" s="1">
        <v>0.26400000000000001</v>
      </c>
      <c r="AT63" s="2">
        <f t="shared" si="21"/>
        <v>6.8000000000000005E-2</v>
      </c>
      <c r="AU63" s="1">
        <v>0.28599999999999998</v>
      </c>
      <c r="AV63" s="2">
        <f t="shared" si="22"/>
        <v>8.7999999999999967E-2</v>
      </c>
      <c r="AW63" s="1">
        <v>0.33400000000000002</v>
      </c>
      <c r="AX63" s="2">
        <f t="shared" si="23"/>
        <v>0.12800000000000003</v>
      </c>
      <c r="AY63" s="1">
        <v>0.27200000000000002</v>
      </c>
      <c r="AZ63">
        <f t="shared" si="24"/>
        <v>6.3000000000000028E-2</v>
      </c>
      <c r="BA63" s="1">
        <v>0.28999999999999998</v>
      </c>
      <c r="BB63">
        <f t="shared" si="25"/>
        <v>8.3999999999999991E-2</v>
      </c>
      <c r="BC63" s="1">
        <v>0.29099999999999998</v>
      </c>
      <c r="BD63">
        <f t="shared" si="26"/>
        <v>7.6999999999999985E-2</v>
      </c>
      <c r="BE63" s="1">
        <v>0.27600000000000002</v>
      </c>
      <c r="BF63">
        <f t="shared" si="27"/>
        <v>5.9000000000000025E-2</v>
      </c>
      <c r="BG63" s="1">
        <v>0.29399999999999998</v>
      </c>
      <c r="BH63">
        <f t="shared" si="28"/>
        <v>8.8999999999999996E-2</v>
      </c>
      <c r="BI63" s="1">
        <v>0.30299999999999999</v>
      </c>
      <c r="BJ63">
        <f t="shared" si="29"/>
        <v>9.7000000000000003E-2</v>
      </c>
      <c r="BK63" s="1">
        <v>0.28000000000000003</v>
      </c>
      <c r="BL63">
        <f t="shared" si="30"/>
        <v>6.1000000000000026E-2</v>
      </c>
      <c r="BM63" s="1">
        <v>0.29499999999999998</v>
      </c>
      <c r="BN63">
        <f t="shared" si="31"/>
        <v>7.8999999999999987E-2</v>
      </c>
      <c r="BO63" s="1">
        <v>0.28399999999999997</v>
      </c>
      <c r="BP63">
        <f t="shared" si="32"/>
        <v>6.2999999999999973E-2</v>
      </c>
      <c r="BQ63">
        <v>0.27600000000000002</v>
      </c>
      <c r="BR63">
        <f t="shared" si="33"/>
        <v>5.7000000000000023E-2</v>
      </c>
      <c r="BS63">
        <v>0.29799999999999999</v>
      </c>
      <c r="BT63">
        <f t="shared" si="34"/>
        <v>9.5999999999999974E-2</v>
      </c>
      <c r="BU63">
        <v>0.28799999999999998</v>
      </c>
      <c r="BV63">
        <f t="shared" si="35"/>
        <v>6.3999999999999974E-2</v>
      </c>
      <c r="BW63" s="1">
        <v>0.1</v>
      </c>
      <c r="BX63" s="2">
        <f t="shared" si="36"/>
        <v>-5.8999999999999997E-2</v>
      </c>
      <c r="BY63" s="1">
        <v>9.2999999999999999E-2</v>
      </c>
      <c r="BZ63" s="2">
        <f t="shared" si="37"/>
        <v>-1.0999999999999996E-2</v>
      </c>
      <c r="CA63" s="1">
        <v>0.17499999999999999</v>
      </c>
      <c r="CB63" s="2">
        <f t="shared" si="38"/>
        <v>-0.314</v>
      </c>
      <c r="CC63" s="1">
        <v>0.27900000000000003</v>
      </c>
      <c r="CD63" s="2">
        <f t="shared" si="39"/>
        <v>6.4000000000000029E-2</v>
      </c>
      <c r="CE63" s="1">
        <v>0.193</v>
      </c>
      <c r="CF63" s="2">
        <f t="shared" si="40"/>
        <v>1.100000000000001E-2</v>
      </c>
      <c r="CG63" s="1">
        <v>0.33500000000000002</v>
      </c>
      <c r="CH63" s="2">
        <f t="shared" si="41"/>
        <v>0.14400000000000002</v>
      </c>
      <c r="CI63" s="1">
        <v>0.27</v>
      </c>
      <c r="CJ63">
        <f t="shared" si="42"/>
        <v>6.0000000000000026E-2</v>
      </c>
      <c r="CK63" s="1">
        <v>0.19900000000000001</v>
      </c>
      <c r="CL63">
        <f t="shared" si="43"/>
        <v>4.0000000000000036E-3</v>
      </c>
      <c r="CM63" s="1">
        <v>0.28599999999999998</v>
      </c>
      <c r="CN63">
        <f t="shared" si="44"/>
        <v>7.8999999999999987E-2</v>
      </c>
      <c r="CO63" s="1">
        <v>0.27600000000000002</v>
      </c>
      <c r="CP63">
        <f t="shared" si="45"/>
        <v>5.9000000000000025E-2</v>
      </c>
      <c r="CQ63" s="1">
        <v>0.20399999999999999</v>
      </c>
      <c r="CR63">
        <f t="shared" si="46"/>
        <v>4.9999999999999767E-3</v>
      </c>
      <c r="CS63" s="1">
        <v>0.29199999999999998</v>
      </c>
      <c r="CT63">
        <f t="shared" si="47"/>
        <v>9.1999999999999971E-2</v>
      </c>
      <c r="CU63" s="1">
        <v>0.27500000000000002</v>
      </c>
      <c r="CV63">
        <f t="shared" si="48"/>
        <v>5.5000000000000021E-2</v>
      </c>
      <c r="CW63" s="1">
        <v>0.20499999999999999</v>
      </c>
      <c r="CX63">
        <f t="shared" si="49"/>
        <v>-1.0000000000000009E-3</v>
      </c>
      <c r="CY63" s="1">
        <v>0.28599999999999998</v>
      </c>
      <c r="CZ63">
        <f t="shared" si="50"/>
        <v>7.7999999999999986E-2</v>
      </c>
      <c r="DA63">
        <v>0.26700000000000002</v>
      </c>
      <c r="DB63">
        <f t="shared" si="51"/>
        <v>5.1000000000000018E-2</v>
      </c>
      <c r="DC63">
        <v>0.19900000000000001</v>
      </c>
      <c r="DD63">
        <f t="shared" si="52"/>
        <v>-4.0000000000000036E-3</v>
      </c>
      <c r="DE63">
        <v>0.32</v>
      </c>
      <c r="DF63">
        <f t="shared" si="53"/>
        <v>0.11500000000000002</v>
      </c>
    </row>
    <row r="64" spans="1:110">
      <c r="A64" t="s">
        <v>179</v>
      </c>
      <c r="B64" t="s">
        <v>180</v>
      </c>
      <c r="C64" s="1">
        <v>0.11</v>
      </c>
      <c r="D64" s="1">
        <f t="shared" si="0"/>
        <v>-1.3999999999999999E-2</v>
      </c>
      <c r="E64" s="1">
        <v>0.122</v>
      </c>
      <c r="F64">
        <f t="shared" si="1"/>
        <v>4.0000000000000036E-3</v>
      </c>
      <c r="G64" s="1">
        <v>0.14199999999999999</v>
      </c>
      <c r="H64">
        <f t="shared" si="2"/>
        <v>7.9999999999999793E-3</v>
      </c>
      <c r="I64" s="1">
        <v>0.82699999999999996</v>
      </c>
      <c r="J64">
        <f t="shared" si="3"/>
        <v>0.65500000000000003</v>
      </c>
      <c r="K64" s="1">
        <v>0.80500000000000005</v>
      </c>
      <c r="L64">
        <f t="shared" si="4"/>
        <v>0.629</v>
      </c>
      <c r="M64" s="1">
        <v>0.74299999999999999</v>
      </c>
      <c r="N64">
        <f t="shared" si="5"/>
        <v>0.57599999999999996</v>
      </c>
      <c r="O64" s="1">
        <v>1.169</v>
      </c>
      <c r="P64">
        <f t="shared" si="6"/>
        <v>1.002</v>
      </c>
      <c r="Q64" s="1">
        <v>1.1459999999999999</v>
      </c>
      <c r="R64">
        <f t="shared" si="7"/>
        <v>0.97499999999999987</v>
      </c>
      <c r="S64" s="1">
        <v>1.0840000000000001</v>
      </c>
      <c r="T64">
        <f t="shared" si="8"/>
        <v>0.88800000000000012</v>
      </c>
      <c r="U64" s="1">
        <v>0.95499999999999996</v>
      </c>
      <c r="V64">
        <f t="shared" si="9"/>
        <v>0.7649999999999999</v>
      </c>
      <c r="W64" s="1">
        <v>0.92400000000000004</v>
      </c>
      <c r="X64">
        <f t="shared" si="10"/>
        <v>0.74</v>
      </c>
      <c r="Y64" s="1">
        <v>0.90700000000000003</v>
      </c>
      <c r="Z64">
        <f t="shared" si="11"/>
        <v>0.68</v>
      </c>
      <c r="AA64" s="1">
        <v>0.89400000000000002</v>
      </c>
      <c r="AB64">
        <f t="shared" si="12"/>
        <v>0.70199999999999996</v>
      </c>
      <c r="AC64" s="1">
        <v>0.88800000000000001</v>
      </c>
      <c r="AD64">
        <f t="shared" si="13"/>
        <v>0.71300000000000008</v>
      </c>
      <c r="AE64" s="1">
        <v>0.86599999999999999</v>
      </c>
      <c r="AF64">
        <f t="shared" si="14"/>
        <v>0.65</v>
      </c>
      <c r="AG64">
        <v>0.88100000000000001</v>
      </c>
      <c r="AH64">
        <f t="shared" si="15"/>
        <v>0.71699999999999997</v>
      </c>
      <c r="AI64">
        <v>0.89300000000000002</v>
      </c>
      <c r="AJ64">
        <f t="shared" si="16"/>
        <v>0.71700000000000008</v>
      </c>
      <c r="AK64">
        <v>0.88500000000000001</v>
      </c>
      <c r="AL64">
        <f t="shared" si="17"/>
        <v>0.68199999999999994</v>
      </c>
      <c r="AM64" s="1">
        <v>0.14199999999999999</v>
      </c>
      <c r="AN64" s="2">
        <f t="shared" si="18"/>
        <v>3.0999999999999986E-2</v>
      </c>
      <c r="AO64" s="1">
        <v>0.104</v>
      </c>
      <c r="AP64" s="2">
        <f t="shared" si="19"/>
        <v>-5.0000000000000044E-3</v>
      </c>
      <c r="AQ64" s="1">
        <v>0.17699999999999999</v>
      </c>
      <c r="AR64" s="2">
        <f t="shared" si="20"/>
        <v>6.4999999999999988E-2</v>
      </c>
      <c r="AS64" s="1">
        <v>0.753</v>
      </c>
      <c r="AT64" s="2">
        <f t="shared" si="21"/>
        <v>0.55699999999999994</v>
      </c>
      <c r="AU64" s="1">
        <v>0.78200000000000003</v>
      </c>
      <c r="AV64" s="2">
        <f t="shared" si="22"/>
        <v>0.58400000000000007</v>
      </c>
      <c r="AW64" s="1">
        <v>0.8</v>
      </c>
      <c r="AX64" s="2">
        <f t="shared" si="23"/>
        <v>0.59400000000000008</v>
      </c>
      <c r="AY64" s="1">
        <v>1.204</v>
      </c>
      <c r="AZ64">
        <f t="shared" si="24"/>
        <v>0.995</v>
      </c>
      <c r="BA64" s="1">
        <v>1.1850000000000001</v>
      </c>
      <c r="BB64">
        <f t="shared" si="25"/>
        <v>0.97900000000000009</v>
      </c>
      <c r="BC64" s="1">
        <v>1.17</v>
      </c>
      <c r="BD64">
        <f t="shared" si="26"/>
        <v>0.95599999999999996</v>
      </c>
      <c r="BE64" s="1">
        <v>1.1339999999999999</v>
      </c>
      <c r="BF64">
        <f t="shared" si="27"/>
        <v>0.91699999999999993</v>
      </c>
      <c r="BG64" s="1">
        <v>1.097</v>
      </c>
      <c r="BH64">
        <f t="shared" si="28"/>
        <v>0.89200000000000002</v>
      </c>
      <c r="BI64" s="1">
        <v>1.101</v>
      </c>
      <c r="BJ64">
        <f t="shared" si="29"/>
        <v>0.89500000000000002</v>
      </c>
      <c r="BK64" s="1">
        <v>1.1140000000000001</v>
      </c>
      <c r="BL64">
        <f t="shared" si="30"/>
        <v>0.89500000000000013</v>
      </c>
      <c r="BM64" s="1">
        <v>1.0680000000000001</v>
      </c>
      <c r="BN64">
        <f t="shared" si="31"/>
        <v>0.85200000000000009</v>
      </c>
      <c r="BO64" s="1">
        <v>1.0549999999999999</v>
      </c>
      <c r="BP64">
        <f t="shared" si="32"/>
        <v>0.83399999999999996</v>
      </c>
      <c r="BQ64">
        <v>1.1060000000000001</v>
      </c>
      <c r="BR64">
        <f t="shared" si="33"/>
        <v>0.88700000000000012</v>
      </c>
      <c r="BS64">
        <v>1.0649999999999999</v>
      </c>
      <c r="BT64">
        <f t="shared" si="34"/>
        <v>0.86299999999999999</v>
      </c>
      <c r="BU64">
        <v>1.07</v>
      </c>
      <c r="BV64">
        <f t="shared" si="35"/>
        <v>0.84600000000000009</v>
      </c>
      <c r="BW64" s="1">
        <v>0.1</v>
      </c>
      <c r="BX64" s="2">
        <f t="shared" si="36"/>
        <v>-5.8999999999999997E-2</v>
      </c>
      <c r="BY64" s="1">
        <v>9.6000000000000002E-2</v>
      </c>
      <c r="BZ64" s="2">
        <f t="shared" si="37"/>
        <v>-7.9999999999999932E-3</v>
      </c>
      <c r="CA64" s="1">
        <v>0.16</v>
      </c>
      <c r="CB64" s="2">
        <f t="shared" si="38"/>
        <v>-0.32899999999999996</v>
      </c>
      <c r="CC64" s="1">
        <v>0.75700000000000001</v>
      </c>
      <c r="CD64" s="2">
        <f t="shared" si="39"/>
        <v>0.54200000000000004</v>
      </c>
      <c r="CE64" s="1">
        <v>0.67200000000000004</v>
      </c>
      <c r="CF64" s="2">
        <f t="shared" si="40"/>
        <v>0.49000000000000005</v>
      </c>
      <c r="CG64" s="1">
        <v>0.68700000000000006</v>
      </c>
      <c r="CH64" s="2">
        <f t="shared" si="41"/>
        <v>0.49600000000000005</v>
      </c>
      <c r="CI64" s="1">
        <v>1.2130000000000001</v>
      </c>
      <c r="CJ64">
        <f t="shared" si="42"/>
        <v>1.0030000000000001</v>
      </c>
      <c r="CK64" s="1">
        <v>1.1759999999999999</v>
      </c>
      <c r="CL64">
        <f t="shared" si="43"/>
        <v>0.98099999999999987</v>
      </c>
      <c r="CM64" s="1">
        <v>1.18</v>
      </c>
      <c r="CN64">
        <f t="shared" si="44"/>
        <v>0.97299999999999998</v>
      </c>
      <c r="CO64" s="1">
        <v>1.123</v>
      </c>
      <c r="CP64">
        <f t="shared" si="45"/>
        <v>0.90600000000000003</v>
      </c>
      <c r="CQ64" s="1">
        <v>1.1000000000000001</v>
      </c>
      <c r="CR64">
        <f t="shared" si="46"/>
        <v>0.90100000000000002</v>
      </c>
      <c r="CS64" s="1">
        <v>1.133</v>
      </c>
      <c r="CT64">
        <f t="shared" si="47"/>
        <v>0.93300000000000005</v>
      </c>
      <c r="CU64" s="1">
        <v>1.08</v>
      </c>
      <c r="CV64">
        <f t="shared" si="48"/>
        <v>0.8600000000000001</v>
      </c>
      <c r="CW64" s="1">
        <v>1.0629999999999999</v>
      </c>
      <c r="CX64">
        <f t="shared" si="49"/>
        <v>0.85699999999999998</v>
      </c>
      <c r="CY64" s="1">
        <v>1.0960000000000001</v>
      </c>
      <c r="CZ64">
        <f t="shared" si="50"/>
        <v>0.88800000000000012</v>
      </c>
      <c r="DA64">
        <v>1.075</v>
      </c>
      <c r="DB64">
        <f t="shared" si="51"/>
        <v>0.85899999999999999</v>
      </c>
      <c r="DC64">
        <v>1.052</v>
      </c>
      <c r="DD64">
        <f t="shared" si="52"/>
        <v>0.84899999999999998</v>
      </c>
      <c r="DE64">
        <v>1.1160000000000001</v>
      </c>
      <c r="DF64">
        <f t="shared" si="53"/>
        <v>0.91100000000000014</v>
      </c>
    </row>
    <row r="65" spans="1:110">
      <c r="A65" t="s">
        <v>181</v>
      </c>
      <c r="B65" t="s">
        <v>182</v>
      </c>
      <c r="C65" s="1">
        <v>0.10199999999999999</v>
      </c>
      <c r="D65" s="1">
        <f t="shared" si="0"/>
        <v>-2.2000000000000006E-2</v>
      </c>
      <c r="E65" s="1">
        <v>0.11899999999999999</v>
      </c>
      <c r="F65">
        <f t="shared" si="1"/>
        <v>1.0000000000000009E-3</v>
      </c>
      <c r="G65" s="1">
        <v>0.13500000000000001</v>
      </c>
      <c r="H65">
        <f t="shared" si="2"/>
        <v>1.0000000000000009E-3</v>
      </c>
      <c r="I65" s="1">
        <v>0.155</v>
      </c>
      <c r="J65">
        <f t="shared" si="3"/>
        <v>-1.6999999999999987E-2</v>
      </c>
      <c r="K65" s="1">
        <v>0.156</v>
      </c>
      <c r="L65">
        <f t="shared" si="4"/>
        <v>-1.999999999999999E-2</v>
      </c>
      <c r="M65" s="1">
        <v>0.17499999999999999</v>
      </c>
      <c r="N65">
        <f t="shared" si="5"/>
        <v>7.9999999999999793E-3</v>
      </c>
      <c r="O65" s="1">
        <v>0.14699999999999999</v>
      </c>
      <c r="P65">
        <f t="shared" si="6"/>
        <v>-2.0000000000000018E-2</v>
      </c>
      <c r="Q65" s="1">
        <v>0.151</v>
      </c>
      <c r="R65">
        <f t="shared" si="7"/>
        <v>-2.0000000000000018E-2</v>
      </c>
      <c r="S65" s="1">
        <v>0.189</v>
      </c>
      <c r="T65">
        <f t="shared" si="8"/>
        <v>-7.0000000000000062E-3</v>
      </c>
      <c r="U65" s="1">
        <v>0.16900000000000001</v>
      </c>
      <c r="V65">
        <f t="shared" si="9"/>
        <v>-2.0999999999999991E-2</v>
      </c>
      <c r="W65" s="1">
        <v>0.16600000000000001</v>
      </c>
      <c r="X65">
        <f t="shared" si="10"/>
        <v>-1.7999999999999988E-2</v>
      </c>
      <c r="Y65" s="1">
        <v>0.19600000000000001</v>
      </c>
      <c r="Z65">
        <f t="shared" si="11"/>
        <v>-3.1E-2</v>
      </c>
      <c r="AA65" s="1">
        <v>0.16200000000000001</v>
      </c>
      <c r="AB65">
        <f t="shared" si="12"/>
        <v>-0.03</v>
      </c>
      <c r="AC65" s="1">
        <v>0.17399999999999999</v>
      </c>
      <c r="AD65">
        <f t="shared" si="13"/>
        <v>-1.0000000000000009E-3</v>
      </c>
      <c r="AE65" s="1">
        <v>0.19700000000000001</v>
      </c>
      <c r="AF65">
        <f t="shared" si="14"/>
        <v>-1.8999999999999989E-2</v>
      </c>
      <c r="AG65">
        <v>0.156</v>
      </c>
      <c r="AH65">
        <f t="shared" si="15"/>
        <v>-8.0000000000000071E-3</v>
      </c>
      <c r="AI65">
        <v>0.17299999999999999</v>
      </c>
      <c r="AJ65">
        <f t="shared" si="16"/>
        <v>-3.0000000000000027E-3</v>
      </c>
      <c r="AK65">
        <v>0.192</v>
      </c>
      <c r="AL65">
        <f t="shared" si="17"/>
        <v>-1.100000000000001E-2</v>
      </c>
      <c r="AM65" s="1">
        <v>0.122</v>
      </c>
      <c r="AN65" s="2">
        <f t="shared" si="18"/>
        <v>1.0999999999999996E-2</v>
      </c>
      <c r="AO65" s="1">
        <v>0.121</v>
      </c>
      <c r="AP65" s="2">
        <f t="shared" si="19"/>
        <v>1.1999999999999997E-2</v>
      </c>
      <c r="AQ65" s="1">
        <v>0.19600000000000001</v>
      </c>
      <c r="AR65" s="2">
        <f t="shared" si="20"/>
        <v>8.4000000000000005E-2</v>
      </c>
      <c r="AS65" s="1">
        <v>0.19600000000000001</v>
      </c>
      <c r="AT65" s="2">
        <f t="shared" si="21"/>
        <v>0</v>
      </c>
      <c r="AU65" s="1">
        <v>0.19600000000000001</v>
      </c>
      <c r="AV65" s="2">
        <f t="shared" si="22"/>
        <v>-2.0000000000000018E-3</v>
      </c>
      <c r="AW65" s="1">
        <v>0.252</v>
      </c>
      <c r="AX65" s="2">
        <f t="shared" si="23"/>
        <v>4.6000000000000013E-2</v>
      </c>
      <c r="AY65" s="1">
        <v>0.2</v>
      </c>
      <c r="AZ65">
        <f t="shared" si="24"/>
        <v>-8.9999999999999802E-3</v>
      </c>
      <c r="BA65" s="1">
        <v>0.19700000000000001</v>
      </c>
      <c r="BB65">
        <f t="shared" si="25"/>
        <v>-8.9999999999999802E-3</v>
      </c>
      <c r="BC65" s="1">
        <v>0.20699999999999999</v>
      </c>
      <c r="BD65">
        <f t="shared" si="26"/>
        <v>-7.0000000000000062E-3</v>
      </c>
      <c r="BE65" s="1">
        <v>0.20699999999999999</v>
      </c>
      <c r="BF65">
        <f t="shared" si="27"/>
        <v>-1.0000000000000009E-2</v>
      </c>
      <c r="BG65" s="1">
        <v>0.20300000000000001</v>
      </c>
      <c r="BH65">
        <f t="shared" si="28"/>
        <v>-1.999999999999974E-3</v>
      </c>
      <c r="BI65" s="1">
        <v>0.22600000000000001</v>
      </c>
      <c r="BJ65">
        <f t="shared" si="29"/>
        <v>2.0000000000000018E-2</v>
      </c>
      <c r="BK65" s="1">
        <v>0.20899999999999999</v>
      </c>
      <c r="BL65">
        <f t="shared" si="30"/>
        <v>-1.0000000000000009E-2</v>
      </c>
      <c r="BM65" s="1">
        <v>0.20200000000000001</v>
      </c>
      <c r="BN65">
        <f t="shared" si="31"/>
        <v>-1.3999999999999985E-2</v>
      </c>
      <c r="BO65" s="1">
        <v>0.20599999999999999</v>
      </c>
      <c r="BP65">
        <f t="shared" si="32"/>
        <v>-1.5000000000000013E-2</v>
      </c>
      <c r="BQ65">
        <v>0.20499999999999999</v>
      </c>
      <c r="BR65">
        <f t="shared" si="33"/>
        <v>-1.4000000000000012E-2</v>
      </c>
      <c r="BS65">
        <v>0.19800000000000001</v>
      </c>
      <c r="BT65">
        <f t="shared" si="34"/>
        <v>-4.0000000000000036E-3</v>
      </c>
      <c r="BU65">
        <v>0.22500000000000001</v>
      </c>
      <c r="BV65">
        <f t="shared" si="35"/>
        <v>1.0000000000000009E-3</v>
      </c>
      <c r="BW65" s="1">
        <v>0.113</v>
      </c>
      <c r="BX65" s="2">
        <f t="shared" si="36"/>
        <v>-4.5999999999999999E-2</v>
      </c>
      <c r="BY65" s="1">
        <v>0.112</v>
      </c>
      <c r="BZ65" s="2">
        <f t="shared" si="37"/>
        <v>8.0000000000000071E-3</v>
      </c>
      <c r="CA65" s="1">
        <v>0.16600000000000001</v>
      </c>
      <c r="CB65" s="2">
        <f t="shared" si="38"/>
        <v>-0.32299999999999995</v>
      </c>
      <c r="CC65" s="1">
        <v>0.184</v>
      </c>
      <c r="CD65" s="2">
        <f t="shared" si="39"/>
        <v>-3.1E-2</v>
      </c>
      <c r="CE65" s="1">
        <v>0.184</v>
      </c>
      <c r="CF65" s="2">
        <f t="shared" si="40"/>
        <v>2.0000000000000018E-3</v>
      </c>
      <c r="CG65" s="1">
        <v>0.23599999999999999</v>
      </c>
      <c r="CH65" s="2">
        <f t="shared" si="41"/>
        <v>4.4999999999999984E-2</v>
      </c>
      <c r="CI65" s="1">
        <v>0.189</v>
      </c>
      <c r="CJ65">
        <f t="shared" si="42"/>
        <v>-2.0999999999999991E-2</v>
      </c>
      <c r="CK65" s="1">
        <v>0.186</v>
      </c>
      <c r="CL65">
        <f t="shared" si="43"/>
        <v>-9.000000000000008E-3</v>
      </c>
      <c r="CM65" s="1">
        <v>0.19600000000000001</v>
      </c>
      <c r="CN65">
        <f t="shared" si="44"/>
        <v>-1.0999999999999982E-2</v>
      </c>
      <c r="CO65" s="1">
        <v>0.19600000000000001</v>
      </c>
      <c r="CP65">
        <f t="shared" si="45"/>
        <v>-2.0999999999999991E-2</v>
      </c>
      <c r="CQ65" s="1">
        <v>0.191</v>
      </c>
      <c r="CR65">
        <f t="shared" si="46"/>
        <v>-8.0000000000000071E-3</v>
      </c>
      <c r="CS65" s="1">
        <v>0.193</v>
      </c>
      <c r="CT65">
        <f t="shared" si="47"/>
        <v>-7.0000000000000062E-3</v>
      </c>
      <c r="CU65" s="1">
        <v>0.19700000000000001</v>
      </c>
      <c r="CV65">
        <f t="shared" si="48"/>
        <v>-2.2999999999999993E-2</v>
      </c>
      <c r="CW65" s="1">
        <v>0.19400000000000001</v>
      </c>
      <c r="CX65">
        <f t="shared" si="49"/>
        <v>-1.1999999999999983E-2</v>
      </c>
      <c r="CY65" s="1">
        <v>0.19600000000000001</v>
      </c>
      <c r="CZ65">
        <f t="shared" si="50"/>
        <v>-1.1999999999999983E-2</v>
      </c>
      <c r="DA65">
        <v>0.183</v>
      </c>
      <c r="DB65">
        <f t="shared" si="51"/>
        <v>-3.3000000000000002E-2</v>
      </c>
      <c r="DC65">
        <v>0.189</v>
      </c>
      <c r="DD65">
        <f t="shared" si="52"/>
        <v>-1.4000000000000012E-2</v>
      </c>
      <c r="DE65">
        <v>0.22900000000000001</v>
      </c>
      <c r="DF65">
        <f t="shared" si="53"/>
        <v>2.4000000000000021E-2</v>
      </c>
    </row>
    <row r="66" spans="1:110">
      <c r="A66" t="s">
        <v>183</v>
      </c>
      <c r="B66" t="s">
        <v>184</v>
      </c>
      <c r="C66" s="1">
        <v>0.10199999999999999</v>
      </c>
      <c r="D66" s="1">
        <f t="shared" si="0"/>
        <v>-2.2000000000000006E-2</v>
      </c>
      <c r="E66" s="1">
        <v>0.109</v>
      </c>
      <c r="F66">
        <f t="shared" si="1"/>
        <v>-8.9999999999999941E-3</v>
      </c>
      <c r="G66" s="1">
        <v>0.11</v>
      </c>
      <c r="H66">
        <f t="shared" si="2"/>
        <v>-2.4000000000000007E-2</v>
      </c>
      <c r="I66" s="1">
        <v>0.15</v>
      </c>
      <c r="J66">
        <f t="shared" si="3"/>
        <v>-2.1999999999999992E-2</v>
      </c>
      <c r="K66" s="1">
        <v>0.156</v>
      </c>
      <c r="L66">
        <f t="shared" si="4"/>
        <v>-1.999999999999999E-2</v>
      </c>
      <c r="M66" s="1">
        <v>0.16500000000000001</v>
      </c>
      <c r="N66">
        <f t="shared" si="5"/>
        <v>-2.0000000000000018E-3</v>
      </c>
      <c r="O66" s="1">
        <v>0.14299999999999999</v>
      </c>
      <c r="P66">
        <f t="shared" si="6"/>
        <v>-2.4000000000000021E-2</v>
      </c>
      <c r="Q66" s="1">
        <v>0.153</v>
      </c>
      <c r="R66">
        <f t="shared" si="7"/>
        <v>-1.8000000000000016E-2</v>
      </c>
      <c r="S66" s="1">
        <v>0.157</v>
      </c>
      <c r="T66">
        <f t="shared" si="8"/>
        <v>-3.9000000000000007E-2</v>
      </c>
      <c r="U66" s="1">
        <v>0.14000000000000001</v>
      </c>
      <c r="V66">
        <f t="shared" si="9"/>
        <v>-4.9999999999999989E-2</v>
      </c>
      <c r="W66" s="1">
        <v>0.159</v>
      </c>
      <c r="X66">
        <f t="shared" si="10"/>
        <v>-2.4999999999999994E-2</v>
      </c>
      <c r="Y66" s="1">
        <v>0.16400000000000001</v>
      </c>
      <c r="Z66">
        <f t="shared" si="11"/>
        <v>-6.3E-2</v>
      </c>
      <c r="AA66" s="1">
        <v>0.14199999999999999</v>
      </c>
      <c r="AB66">
        <f t="shared" si="12"/>
        <v>-5.0000000000000017E-2</v>
      </c>
      <c r="AC66" s="1">
        <v>0.161</v>
      </c>
      <c r="AD66">
        <f t="shared" si="13"/>
        <v>-1.3999999999999985E-2</v>
      </c>
      <c r="AE66" s="1">
        <v>0.17399999999999999</v>
      </c>
      <c r="AF66">
        <f t="shared" si="14"/>
        <v>-4.200000000000001E-2</v>
      </c>
      <c r="AG66">
        <v>0.14299999999999999</v>
      </c>
      <c r="AH66">
        <f t="shared" si="15"/>
        <v>-2.1000000000000019E-2</v>
      </c>
      <c r="AI66">
        <v>0.16400000000000001</v>
      </c>
      <c r="AJ66">
        <f t="shared" si="16"/>
        <v>-1.1999999999999983E-2</v>
      </c>
      <c r="AK66">
        <v>0.17199999999999999</v>
      </c>
      <c r="AL66">
        <f t="shared" si="17"/>
        <v>-3.1000000000000028E-2</v>
      </c>
      <c r="AM66" s="1">
        <v>0.104</v>
      </c>
      <c r="AN66" s="2">
        <f t="shared" si="18"/>
        <v>-7.0000000000000062E-3</v>
      </c>
      <c r="AO66" s="1">
        <v>0.109</v>
      </c>
      <c r="AP66" s="2">
        <f t="shared" si="19"/>
        <v>0</v>
      </c>
      <c r="AQ66" s="1">
        <v>0.16300000000000001</v>
      </c>
      <c r="AR66" s="2">
        <f t="shared" si="20"/>
        <v>5.1000000000000004E-2</v>
      </c>
      <c r="AS66" s="1">
        <v>0.186</v>
      </c>
      <c r="AT66" s="2">
        <f t="shared" si="21"/>
        <v>-1.0000000000000009E-2</v>
      </c>
      <c r="AU66" s="1">
        <v>0.20499999999999999</v>
      </c>
      <c r="AV66" s="2">
        <f t="shared" si="22"/>
        <v>6.9999999999999785E-3</v>
      </c>
      <c r="AW66" s="1">
        <v>0.23899999999999999</v>
      </c>
      <c r="AX66" s="2">
        <f t="shared" si="23"/>
        <v>3.3000000000000002E-2</v>
      </c>
      <c r="AY66" s="1">
        <v>0.17699999999999999</v>
      </c>
      <c r="AZ66">
        <f t="shared" si="24"/>
        <v>-3.2000000000000001E-2</v>
      </c>
      <c r="BA66" s="1">
        <v>0.19800000000000001</v>
      </c>
      <c r="BB66">
        <f t="shared" si="25"/>
        <v>-7.9999999999999793E-3</v>
      </c>
      <c r="BC66" s="1">
        <v>0.18</v>
      </c>
      <c r="BD66">
        <f t="shared" si="26"/>
        <v>-3.4000000000000002E-2</v>
      </c>
      <c r="BE66" s="1">
        <v>0.188</v>
      </c>
      <c r="BF66">
        <f t="shared" si="27"/>
        <v>-2.8999999999999998E-2</v>
      </c>
      <c r="BG66" s="1">
        <v>0.21299999999999999</v>
      </c>
      <c r="BH66">
        <f t="shared" si="28"/>
        <v>8.0000000000000071E-3</v>
      </c>
      <c r="BI66" s="1">
        <v>0.20799999999999999</v>
      </c>
      <c r="BJ66">
        <f t="shared" si="29"/>
        <v>2.0000000000000018E-3</v>
      </c>
      <c r="BK66" s="1">
        <v>0.19500000000000001</v>
      </c>
      <c r="BL66">
        <f t="shared" si="30"/>
        <v>-2.3999999999999994E-2</v>
      </c>
      <c r="BM66" s="1">
        <v>0.216</v>
      </c>
      <c r="BN66">
        <f t="shared" si="31"/>
        <v>0</v>
      </c>
      <c r="BO66" s="1">
        <v>0.19700000000000001</v>
      </c>
      <c r="BP66">
        <f t="shared" si="32"/>
        <v>-2.3999999999999994E-2</v>
      </c>
      <c r="BQ66">
        <v>0.20100000000000001</v>
      </c>
      <c r="BR66">
        <f t="shared" si="33"/>
        <v>-1.7999999999999988E-2</v>
      </c>
      <c r="BS66">
        <v>0.221</v>
      </c>
      <c r="BT66">
        <f t="shared" si="34"/>
        <v>1.8999999999999989E-2</v>
      </c>
      <c r="BU66">
        <v>0.22</v>
      </c>
      <c r="BV66">
        <f t="shared" si="35"/>
        <v>-4.0000000000000036E-3</v>
      </c>
      <c r="BW66" s="1">
        <v>0.11</v>
      </c>
      <c r="BX66" s="2">
        <f t="shared" si="36"/>
        <v>-4.9000000000000002E-2</v>
      </c>
      <c r="BY66" s="1">
        <v>0.106</v>
      </c>
      <c r="BZ66" s="2">
        <f t="shared" si="37"/>
        <v>2.0000000000000018E-3</v>
      </c>
      <c r="CA66" s="1">
        <v>0.17499999999999999</v>
      </c>
      <c r="CB66" s="2">
        <f t="shared" si="38"/>
        <v>-0.314</v>
      </c>
      <c r="CC66" s="1">
        <v>0.17399999999999999</v>
      </c>
      <c r="CD66" s="2">
        <f t="shared" si="39"/>
        <v>-4.1000000000000009E-2</v>
      </c>
      <c r="CE66" s="1">
        <v>0.17199999999999999</v>
      </c>
      <c r="CF66" s="2">
        <f t="shared" si="40"/>
        <v>-1.0000000000000009E-2</v>
      </c>
      <c r="CG66" s="1">
        <v>0.23899999999999999</v>
      </c>
      <c r="CH66" s="2">
        <f t="shared" si="41"/>
        <v>4.7999999999999987E-2</v>
      </c>
      <c r="CI66" s="1">
        <v>0.17599999999999999</v>
      </c>
      <c r="CJ66">
        <f t="shared" si="42"/>
        <v>-3.4000000000000002E-2</v>
      </c>
      <c r="CK66" s="1">
        <v>0.17499999999999999</v>
      </c>
      <c r="CL66">
        <f t="shared" si="43"/>
        <v>-2.0000000000000018E-2</v>
      </c>
      <c r="CM66" s="1">
        <v>0.19</v>
      </c>
      <c r="CN66">
        <f t="shared" si="44"/>
        <v>-1.6999999999999987E-2</v>
      </c>
      <c r="CO66" s="1">
        <v>0.188</v>
      </c>
      <c r="CP66">
        <f t="shared" si="45"/>
        <v>-2.8999999999999998E-2</v>
      </c>
      <c r="CQ66" s="1">
        <v>0.184</v>
      </c>
      <c r="CR66">
        <f t="shared" si="46"/>
        <v>-1.5000000000000013E-2</v>
      </c>
      <c r="CS66" s="1">
        <v>0.187</v>
      </c>
      <c r="CT66">
        <f t="shared" si="47"/>
        <v>-1.3000000000000012E-2</v>
      </c>
      <c r="CU66" s="1">
        <v>0.192</v>
      </c>
      <c r="CV66">
        <f t="shared" si="48"/>
        <v>-2.7999999999999997E-2</v>
      </c>
      <c r="CW66" s="1">
        <v>0.20300000000000001</v>
      </c>
      <c r="CX66">
        <f t="shared" si="49"/>
        <v>-2.9999999999999749E-3</v>
      </c>
      <c r="CY66" s="1">
        <v>0.191</v>
      </c>
      <c r="CZ66">
        <f t="shared" si="50"/>
        <v>-1.6999999999999987E-2</v>
      </c>
      <c r="DA66">
        <v>0.191</v>
      </c>
      <c r="DB66">
        <f t="shared" si="51"/>
        <v>-2.4999999999999994E-2</v>
      </c>
      <c r="DC66">
        <v>0.185</v>
      </c>
      <c r="DD66">
        <f t="shared" si="52"/>
        <v>-1.8000000000000016E-2</v>
      </c>
      <c r="DE66">
        <v>0.23</v>
      </c>
      <c r="DF66">
        <f t="shared" si="53"/>
        <v>2.5000000000000022E-2</v>
      </c>
    </row>
    <row r="67" spans="1:110">
      <c r="A67" t="s">
        <v>185</v>
      </c>
      <c r="B67" t="s">
        <v>186</v>
      </c>
      <c r="C67" s="1">
        <v>0.26</v>
      </c>
      <c r="D67" s="1">
        <f t="shared" si="0"/>
        <v>0.13600000000000001</v>
      </c>
      <c r="E67" s="1">
        <v>0.11700000000000001</v>
      </c>
      <c r="F67">
        <f t="shared" si="1"/>
        <v>-9.9999999999998701E-4</v>
      </c>
      <c r="G67" s="1">
        <v>0.13100000000000001</v>
      </c>
      <c r="H67">
        <f t="shared" si="2"/>
        <v>-3.0000000000000027E-3</v>
      </c>
      <c r="I67" s="1">
        <v>0.22800000000000001</v>
      </c>
      <c r="J67">
        <f t="shared" si="3"/>
        <v>5.6000000000000022E-2</v>
      </c>
      <c r="K67" s="1">
        <v>0.16400000000000001</v>
      </c>
      <c r="L67">
        <f t="shared" si="4"/>
        <v>-1.1999999999999983E-2</v>
      </c>
      <c r="M67" s="1">
        <v>0.19900000000000001</v>
      </c>
      <c r="N67">
        <f t="shared" si="5"/>
        <v>3.2000000000000001E-2</v>
      </c>
      <c r="O67" s="1">
        <v>0.24</v>
      </c>
      <c r="P67">
        <f t="shared" si="6"/>
        <v>7.2999999999999982E-2</v>
      </c>
      <c r="Q67" s="1">
        <v>0.16200000000000001</v>
      </c>
      <c r="R67">
        <f t="shared" si="7"/>
        <v>-9.000000000000008E-3</v>
      </c>
      <c r="S67" s="1">
        <v>0.17599999999999999</v>
      </c>
      <c r="T67">
        <f t="shared" si="8"/>
        <v>-2.0000000000000018E-2</v>
      </c>
      <c r="U67" s="1">
        <v>0.23599999999999999</v>
      </c>
      <c r="V67">
        <f t="shared" si="9"/>
        <v>4.5999999999999985E-2</v>
      </c>
      <c r="W67" s="1">
        <v>0.17</v>
      </c>
      <c r="X67">
        <f t="shared" si="10"/>
        <v>-1.3999999999999985E-2</v>
      </c>
      <c r="Y67" s="1">
        <v>0.182</v>
      </c>
      <c r="Z67">
        <f t="shared" si="11"/>
        <v>-4.5000000000000012E-2</v>
      </c>
      <c r="AA67" s="1">
        <v>0.24</v>
      </c>
      <c r="AB67">
        <f t="shared" si="12"/>
        <v>4.7999999999999987E-2</v>
      </c>
      <c r="AC67" s="1">
        <v>0.17</v>
      </c>
      <c r="AD67">
        <f t="shared" si="13"/>
        <v>-4.9999999999999767E-3</v>
      </c>
      <c r="AE67" s="1">
        <v>0.184</v>
      </c>
      <c r="AF67">
        <f t="shared" si="14"/>
        <v>-3.2000000000000001E-2</v>
      </c>
      <c r="AG67">
        <v>0.23300000000000001</v>
      </c>
      <c r="AH67">
        <f t="shared" si="15"/>
        <v>6.9000000000000006E-2</v>
      </c>
      <c r="AI67">
        <v>0.16900000000000001</v>
      </c>
      <c r="AJ67">
        <f t="shared" si="16"/>
        <v>-6.9999999999999785E-3</v>
      </c>
      <c r="AK67">
        <v>0.189</v>
      </c>
      <c r="AL67">
        <f t="shared" si="17"/>
        <v>-1.4000000000000012E-2</v>
      </c>
      <c r="AM67" s="1">
        <v>0.109</v>
      </c>
      <c r="AN67" s="2">
        <f t="shared" si="18"/>
        <v>-2.0000000000000018E-3</v>
      </c>
      <c r="AO67" s="1">
        <v>0.11899999999999999</v>
      </c>
      <c r="AP67" s="2">
        <f t="shared" si="19"/>
        <v>9.999999999999995E-3</v>
      </c>
      <c r="AQ67" s="1">
        <v>0.17</v>
      </c>
      <c r="AR67" s="2">
        <f t="shared" si="20"/>
        <v>5.800000000000001E-2</v>
      </c>
      <c r="AS67" s="1">
        <v>0.182</v>
      </c>
      <c r="AT67" s="2">
        <f t="shared" si="21"/>
        <v>-1.4000000000000012E-2</v>
      </c>
      <c r="AU67" s="1">
        <v>0.20200000000000001</v>
      </c>
      <c r="AV67" s="2">
        <f t="shared" si="22"/>
        <v>4.0000000000000036E-3</v>
      </c>
      <c r="AW67" s="1">
        <v>0.248</v>
      </c>
      <c r="AX67" s="2">
        <f t="shared" si="23"/>
        <v>4.200000000000001E-2</v>
      </c>
      <c r="AY67" s="1">
        <v>0.192</v>
      </c>
      <c r="AZ67">
        <f t="shared" si="24"/>
        <v>-1.6999999999999987E-2</v>
      </c>
      <c r="BA67" s="1">
        <v>0.20799999999999999</v>
      </c>
      <c r="BB67">
        <f t="shared" si="25"/>
        <v>2.0000000000000018E-3</v>
      </c>
      <c r="BC67" s="1">
        <v>0.217</v>
      </c>
      <c r="BD67">
        <f t="shared" si="26"/>
        <v>3.0000000000000027E-3</v>
      </c>
      <c r="BE67" s="1">
        <v>0.20100000000000001</v>
      </c>
      <c r="BF67">
        <f t="shared" si="27"/>
        <v>-1.5999999999999986E-2</v>
      </c>
      <c r="BG67" s="1">
        <v>0.215</v>
      </c>
      <c r="BH67">
        <f t="shared" si="28"/>
        <v>1.0000000000000009E-2</v>
      </c>
      <c r="BI67" s="1">
        <v>0.23699999999999999</v>
      </c>
      <c r="BJ67">
        <f t="shared" si="29"/>
        <v>3.1E-2</v>
      </c>
      <c r="BK67" s="1">
        <v>0.20300000000000001</v>
      </c>
      <c r="BL67">
        <f t="shared" si="30"/>
        <v>-1.5999999999999986E-2</v>
      </c>
      <c r="BM67" s="1">
        <v>0.215</v>
      </c>
      <c r="BN67">
        <f t="shared" si="31"/>
        <v>-1.0000000000000009E-3</v>
      </c>
      <c r="BO67" s="1">
        <v>0.22700000000000001</v>
      </c>
      <c r="BP67">
        <f t="shared" si="32"/>
        <v>6.0000000000000053E-3</v>
      </c>
      <c r="BQ67">
        <v>0.20499999999999999</v>
      </c>
      <c r="BR67">
        <f t="shared" si="33"/>
        <v>-1.4000000000000012E-2</v>
      </c>
      <c r="BS67">
        <v>0.221</v>
      </c>
      <c r="BT67">
        <f t="shared" si="34"/>
        <v>1.8999999999999989E-2</v>
      </c>
      <c r="BU67">
        <v>0.252</v>
      </c>
      <c r="BV67">
        <f t="shared" si="35"/>
        <v>2.7999999999999997E-2</v>
      </c>
      <c r="BW67" s="1">
        <v>0.18</v>
      </c>
      <c r="BX67" s="2">
        <f t="shared" si="36"/>
        <v>2.0999999999999991E-2</v>
      </c>
      <c r="BY67" s="1">
        <v>0.111</v>
      </c>
      <c r="BZ67" s="2">
        <f t="shared" si="37"/>
        <v>7.0000000000000062E-3</v>
      </c>
      <c r="CA67" s="1">
        <v>0.187</v>
      </c>
      <c r="CB67" s="2">
        <f t="shared" si="38"/>
        <v>-0.30199999999999999</v>
      </c>
      <c r="CC67" s="1">
        <v>0.246</v>
      </c>
      <c r="CD67" s="2">
        <f t="shared" si="39"/>
        <v>3.1E-2</v>
      </c>
      <c r="CE67" s="1">
        <v>0.17599999999999999</v>
      </c>
      <c r="CF67" s="2">
        <f t="shared" si="40"/>
        <v>-6.0000000000000053E-3</v>
      </c>
      <c r="CG67" s="1">
        <v>0.26200000000000001</v>
      </c>
      <c r="CH67" s="2">
        <f t="shared" si="41"/>
        <v>7.1000000000000008E-2</v>
      </c>
      <c r="CI67" s="1">
        <v>0.25600000000000001</v>
      </c>
      <c r="CJ67">
        <f t="shared" si="42"/>
        <v>4.6000000000000013E-2</v>
      </c>
      <c r="CK67" s="1">
        <v>0.192</v>
      </c>
      <c r="CL67">
        <f t="shared" si="43"/>
        <v>-3.0000000000000027E-3</v>
      </c>
      <c r="CM67" s="1">
        <v>0.20499999999999999</v>
      </c>
      <c r="CN67">
        <f t="shared" si="44"/>
        <v>-2.0000000000000018E-3</v>
      </c>
      <c r="CO67" s="1">
        <v>0.26</v>
      </c>
      <c r="CP67">
        <f t="shared" si="45"/>
        <v>4.300000000000001E-2</v>
      </c>
      <c r="CQ67" s="1">
        <v>0.189</v>
      </c>
      <c r="CR67">
        <f t="shared" si="46"/>
        <v>-1.0000000000000009E-2</v>
      </c>
      <c r="CS67" s="1">
        <v>0.20300000000000001</v>
      </c>
      <c r="CT67">
        <f t="shared" si="47"/>
        <v>3.0000000000000027E-3</v>
      </c>
      <c r="CU67" s="1">
        <v>0.251</v>
      </c>
      <c r="CV67">
        <f t="shared" si="48"/>
        <v>3.1E-2</v>
      </c>
      <c r="CW67" s="1">
        <v>0.193</v>
      </c>
      <c r="CX67">
        <f t="shared" si="49"/>
        <v>-1.2999999999999984E-2</v>
      </c>
      <c r="CY67" s="1">
        <v>0.20899999999999999</v>
      </c>
      <c r="CZ67">
        <f t="shared" si="50"/>
        <v>1.0000000000000009E-3</v>
      </c>
      <c r="DA67">
        <v>0.245</v>
      </c>
      <c r="DB67">
        <f t="shared" si="51"/>
        <v>2.8999999999999998E-2</v>
      </c>
      <c r="DC67">
        <v>0.187</v>
      </c>
      <c r="DD67">
        <f t="shared" si="52"/>
        <v>-1.6000000000000014E-2</v>
      </c>
      <c r="DE67">
        <v>0.24199999999999999</v>
      </c>
      <c r="DF67">
        <f t="shared" si="53"/>
        <v>3.7000000000000005E-2</v>
      </c>
    </row>
    <row r="68" spans="1:110">
      <c r="A68" t="s">
        <v>187</v>
      </c>
      <c r="B68" t="s">
        <v>188</v>
      </c>
      <c r="C68" s="1">
        <v>0.12</v>
      </c>
      <c r="D68" s="1">
        <f t="shared" ref="D68:D96" si="54">C68-0.124</f>
        <v>-4.0000000000000036E-3</v>
      </c>
      <c r="E68" s="1">
        <v>0.109</v>
      </c>
      <c r="F68">
        <f t="shared" ref="F68:F96" si="55">E68-0.118</f>
        <v>-8.9999999999999941E-3</v>
      </c>
      <c r="G68" s="1">
        <v>0.112</v>
      </c>
      <c r="H68">
        <f t="shared" ref="H68:H96" si="56">G68-0.134</f>
        <v>-2.2000000000000006E-2</v>
      </c>
      <c r="I68" s="1">
        <v>0.19600000000000001</v>
      </c>
      <c r="J68">
        <f t="shared" ref="J68:J96" si="57">I68-0.172</f>
        <v>2.4000000000000021E-2</v>
      </c>
      <c r="K68" s="1">
        <v>0.19400000000000001</v>
      </c>
      <c r="L68">
        <f t="shared" ref="L68:L96" si="58">K68-0.176</f>
        <v>1.8000000000000016E-2</v>
      </c>
      <c r="M68" s="1">
        <v>0.216</v>
      </c>
      <c r="N68">
        <f t="shared" ref="N68:N96" si="59">M68-0.167</f>
        <v>4.8999999999999988E-2</v>
      </c>
      <c r="O68" s="1">
        <v>0.17599999999999999</v>
      </c>
      <c r="P68">
        <f t="shared" ref="P68:P96" si="60">O68-0.167</f>
        <v>8.9999999999999802E-3</v>
      </c>
      <c r="Q68" s="1">
        <v>0.18</v>
      </c>
      <c r="R68">
        <f t="shared" ref="R68:R96" si="61">Q68-0.171</f>
        <v>8.9999999999999802E-3</v>
      </c>
      <c r="S68" s="1">
        <v>0.188</v>
      </c>
      <c r="T68">
        <f t="shared" ref="T68:T96" si="62">S68-0.196</f>
        <v>-8.0000000000000071E-3</v>
      </c>
      <c r="U68" s="1">
        <v>0.18099999999999999</v>
      </c>
      <c r="V68">
        <f t="shared" ref="V68:V96" si="63">U68-0.19</f>
        <v>-9.000000000000008E-3</v>
      </c>
      <c r="W68" s="1">
        <v>0.17799999999999999</v>
      </c>
      <c r="X68">
        <f t="shared" ref="X68:X96" si="64">W68-0.184</f>
        <v>-6.0000000000000053E-3</v>
      </c>
      <c r="Y68" s="1">
        <v>0.19500000000000001</v>
      </c>
      <c r="Z68">
        <f t="shared" ref="Z68:Z96" si="65">Y68-0.227</f>
        <v>-3.2000000000000001E-2</v>
      </c>
      <c r="AA68" s="1">
        <v>0.17199999999999999</v>
      </c>
      <c r="AB68">
        <f t="shared" ref="AB68:AB96" si="66">AA68-0.192</f>
        <v>-2.0000000000000018E-2</v>
      </c>
      <c r="AC68" s="1">
        <v>0.17699999999999999</v>
      </c>
      <c r="AD68">
        <f t="shared" ref="AD68:AD96" si="67">AC68-0.175</f>
        <v>2.0000000000000018E-3</v>
      </c>
      <c r="AE68" s="1">
        <v>0.19700000000000001</v>
      </c>
      <c r="AF68">
        <f t="shared" ref="AF68:AF96" si="68">AE68-0.216</f>
        <v>-1.8999999999999989E-2</v>
      </c>
      <c r="AG68">
        <v>0.17299999999999999</v>
      </c>
      <c r="AH68">
        <f t="shared" ref="AH68:AH96" si="69">AG68-0.164</f>
        <v>8.9999999999999802E-3</v>
      </c>
      <c r="AI68">
        <v>0.17799999999999999</v>
      </c>
      <c r="AJ68">
        <f t="shared" ref="AJ68:AJ96" si="70">AI68-0.176</f>
        <v>2.0000000000000018E-3</v>
      </c>
      <c r="AK68">
        <v>0.19600000000000001</v>
      </c>
      <c r="AL68">
        <f t="shared" ref="AL68:AL96" si="71">AK68-0.203</f>
        <v>-7.0000000000000062E-3</v>
      </c>
      <c r="AM68" s="1">
        <v>9.8000000000000004E-2</v>
      </c>
      <c r="AN68" s="2">
        <f t="shared" ref="AN68:AN96" si="72">AM68-0.111</f>
        <v>-1.2999999999999998E-2</v>
      </c>
      <c r="AO68" s="1">
        <v>0.123</v>
      </c>
      <c r="AP68" s="2">
        <f t="shared" ref="AP68:AP96" si="73">AO68-0.109</f>
        <v>1.3999999999999999E-2</v>
      </c>
      <c r="AQ68" s="1">
        <v>0.17699999999999999</v>
      </c>
      <c r="AR68" s="2">
        <f t="shared" ref="AR68:AR96" si="74">AQ68-0.112</f>
        <v>6.4999999999999988E-2</v>
      </c>
      <c r="AS68" s="1">
        <v>0.20499999999999999</v>
      </c>
      <c r="AT68" s="2">
        <f t="shared" ref="AT68:AT96" si="75">AS68-0.196</f>
        <v>8.9999999999999802E-3</v>
      </c>
      <c r="AU68" s="1">
        <v>0.22900000000000001</v>
      </c>
      <c r="AV68" s="2">
        <f t="shared" ref="AV68:AV96" si="76">AU68-0.198</f>
        <v>3.1E-2</v>
      </c>
      <c r="AW68" s="1">
        <v>0.28199999999999997</v>
      </c>
      <c r="AX68" s="2">
        <f t="shared" ref="AX68:AX96" si="77">AW68-0.206</f>
        <v>7.5999999999999984E-2</v>
      </c>
      <c r="AY68" s="1">
        <v>0.20699999999999999</v>
      </c>
      <c r="AZ68">
        <f t="shared" ref="AZ68:AZ96" si="78">AY68-0.209</f>
        <v>-2.0000000000000018E-3</v>
      </c>
      <c r="BA68" s="1">
        <v>0.22700000000000001</v>
      </c>
      <c r="BB68">
        <f t="shared" ref="BB68:BB96" si="79">BA68-0.206</f>
        <v>2.1000000000000019E-2</v>
      </c>
      <c r="BC68" s="1">
        <v>0.23499999999999999</v>
      </c>
      <c r="BD68">
        <f t="shared" ref="BD68:BD96" si="80">BC68-0.214</f>
        <v>2.0999999999999991E-2</v>
      </c>
      <c r="BE68" s="1">
        <v>0.20799999999999999</v>
      </c>
      <c r="BF68">
        <f t="shared" ref="BF68:BF96" si="81">BE68-0.217</f>
        <v>-9.000000000000008E-3</v>
      </c>
      <c r="BG68" s="1">
        <v>0.23100000000000001</v>
      </c>
      <c r="BH68">
        <f t="shared" ref="BH68:BH96" si="82">BG68-0.205</f>
        <v>2.6000000000000023E-2</v>
      </c>
      <c r="BI68" s="1">
        <v>0.252</v>
      </c>
      <c r="BJ68">
        <f t="shared" ref="BJ68:BJ96" si="83">BI68-0.206</f>
        <v>4.6000000000000013E-2</v>
      </c>
      <c r="BK68" s="1">
        <v>0.20499999999999999</v>
      </c>
      <c r="BL68">
        <f t="shared" ref="BL68:BL96" si="84">BK68-0.219</f>
        <v>-1.4000000000000012E-2</v>
      </c>
      <c r="BM68" s="1">
        <v>0.22800000000000001</v>
      </c>
      <c r="BN68">
        <f t="shared" ref="BN68:BN96" si="85">BM68-0.216</f>
        <v>1.2000000000000011E-2</v>
      </c>
      <c r="BO68" s="1">
        <v>0.23200000000000001</v>
      </c>
      <c r="BP68">
        <f t="shared" ref="BP68:BP96" si="86">BO68-0.221</f>
        <v>1.100000000000001E-2</v>
      </c>
      <c r="BQ68">
        <v>0.20200000000000001</v>
      </c>
      <c r="BR68">
        <f t="shared" ref="BR68:BR96" si="87">BQ68-0.219</f>
        <v>-1.6999999999999987E-2</v>
      </c>
      <c r="BS68">
        <v>0.22500000000000001</v>
      </c>
      <c r="BT68">
        <f t="shared" ref="BT68:BT96" si="88">BS68-0.202</f>
        <v>2.2999999999999993E-2</v>
      </c>
      <c r="BU68">
        <v>0.251</v>
      </c>
      <c r="BV68">
        <f t="shared" ref="BV68:BV96" si="89">BU68-0.224</f>
        <v>2.6999999999999996E-2</v>
      </c>
      <c r="BW68" s="1">
        <v>0.11700000000000001</v>
      </c>
      <c r="BX68" s="2">
        <f t="shared" ref="BX68:BX96" si="90">BW68-0.159</f>
        <v>-4.1999999999999996E-2</v>
      </c>
      <c r="BY68" s="1">
        <v>0.106</v>
      </c>
      <c r="BZ68" s="2">
        <f t="shared" ref="BZ68:BZ96" si="91">BY68-0.104</f>
        <v>2.0000000000000018E-3</v>
      </c>
      <c r="CA68" s="1">
        <v>0.17399999999999999</v>
      </c>
      <c r="CB68" s="2">
        <f t="shared" ref="CB68:CB96" si="92">CA68-0.489</f>
        <v>-0.315</v>
      </c>
      <c r="CC68" s="1">
        <v>0.223</v>
      </c>
      <c r="CD68" s="2">
        <f t="shared" ref="CD68:CD96" si="93">CC68-0.215</f>
        <v>8.0000000000000071E-3</v>
      </c>
      <c r="CE68" s="1">
        <v>0.19400000000000001</v>
      </c>
      <c r="CF68" s="2">
        <f t="shared" ref="CF68:CF96" si="94">CE68-0.182</f>
        <v>1.2000000000000011E-2</v>
      </c>
      <c r="CG68" s="1">
        <v>0.27300000000000002</v>
      </c>
      <c r="CH68" s="2">
        <f t="shared" ref="CH68:CH96" si="95">CG68-0.191</f>
        <v>8.2000000000000017E-2</v>
      </c>
      <c r="CI68" s="1">
        <v>0.218</v>
      </c>
      <c r="CJ68">
        <f t="shared" ref="CJ68:CJ96" si="96">CI68-0.21</f>
        <v>8.0000000000000071E-3</v>
      </c>
      <c r="CK68" s="1">
        <v>0.19500000000000001</v>
      </c>
      <c r="CL68">
        <f t="shared" ref="CL68:CL96" si="97">CK68-0.195</f>
        <v>0</v>
      </c>
      <c r="CM68" s="1">
        <v>0.22700000000000001</v>
      </c>
      <c r="CN68">
        <f t="shared" ref="CN68:CN96" si="98">CM68-0.207</f>
        <v>2.0000000000000018E-2</v>
      </c>
      <c r="CO68" s="1">
        <v>0.22</v>
      </c>
      <c r="CP68">
        <f t="shared" ref="CP68:CP96" si="99">CO68-0.217</f>
        <v>3.0000000000000027E-3</v>
      </c>
      <c r="CQ68" s="1">
        <v>0.19600000000000001</v>
      </c>
      <c r="CR68">
        <f t="shared" ref="CR68:CR96" si="100">CQ68-0.199</f>
        <v>-3.0000000000000027E-3</v>
      </c>
      <c r="CS68" s="1">
        <v>0.219</v>
      </c>
      <c r="CT68">
        <f t="shared" ref="CT68:CT96" si="101">CS68-0.2</f>
        <v>1.8999999999999989E-2</v>
      </c>
      <c r="CU68" s="1">
        <v>0.217</v>
      </c>
      <c r="CV68">
        <f t="shared" ref="CV68:CV96" si="102">CU68-0.22</f>
        <v>-3.0000000000000027E-3</v>
      </c>
      <c r="CW68" s="1">
        <v>0.19500000000000001</v>
      </c>
      <c r="CX68">
        <f t="shared" ref="CX68:CX96" si="103">CW68-0.206</f>
        <v>-1.0999999999999982E-2</v>
      </c>
      <c r="CY68" s="1">
        <v>0.219</v>
      </c>
      <c r="CZ68">
        <f t="shared" ref="CZ68:CZ96" si="104">CY68-0.208</f>
        <v>1.100000000000001E-2</v>
      </c>
      <c r="DA68">
        <v>0.21099999999999999</v>
      </c>
      <c r="DB68">
        <f t="shared" ref="DB68:DB96" si="105">DA68-0.216</f>
        <v>-5.0000000000000044E-3</v>
      </c>
      <c r="DC68">
        <v>0.187</v>
      </c>
      <c r="DD68">
        <f t="shared" ref="DD68:DD96" si="106">DC68-0.203</f>
        <v>-1.6000000000000014E-2</v>
      </c>
      <c r="DE68">
        <v>0.25900000000000001</v>
      </c>
      <c r="DF68">
        <f t="shared" ref="DF68:DF96" si="107">DE68-0.205</f>
        <v>5.400000000000002E-2</v>
      </c>
    </row>
    <row r="69" spans="1:110">
      <c r="A69" t="s">
        <v>189</v>
      </c>
      <c r="B69" t="s">
        <v>190</v>
      </c>
      <c r="C69" s="1">
        <v>9.8000000000000004E-2</v>
      </c>
      <c r="D69" s="1">
        <f t="shared" si="54"/>
        <v>-2.5999999999999995E-2</v>
      </c>
      <c r="E69" s="1">
        <v>0.104</v>
      </c>
      <c r="F69">
        <f t="shared" si="55"/>
        <v>-1.3999999999999999E-2</v>
      </c>
      <c r="G69" s="1">
        <v>0.106</v>
      </c>
      <c r="H69">
        <f t="shared" si="56"/>
        <v>-2.8000000000000011E-2</v>
      </c>
      <c r="I69" s="1">
        <v>0.16800000000000001</v>
      </c>
      <c r="J69">
        <f t="shared" si="57"/>
        <v>-3.9999999999999758E-3</v>
      </c>
      <c r="K69" s="1">
        <v>0.17899999999999999</v>
      </c>
      <c r="L69">
        <f t="shared" si="58"/>
        <v>3.0000000000000027E-3</v>
      </c>
      <c r="M69" s="1">
        <v>0.182</v>
      </c>
      <c r="N69">
        <f t="shared" si="59"/>
        <v>1.4999999999999986E-2</v>
      </c>
      <c r="O69" s="1">
        <v>0.161</v>
      </c>
      <c r="P69">
        <f t="shared" si="60"/>
        <v>-6.0000000000000053E-3</v>
      </c>
      <c r="Q69" s="1">
        <v>0.16700000000000001</v>
      </c>
      <c r="R69">
        <f t="shared" si="61"/>
        <v>-4.0000000000000036E-3</v>
      </c>
      <c r="S69" s="1">
        <v>0.14899999999999999</v>
      </c>
      <c r="T69">
        <f t="shared" si="62"/>
        <v>-4.7000000000000014E-2</v>
      </c>
      <c r="U69" s="1">
        <v>0.154</v>
      </c>
      <c r="V69">
        <f t="shared" si="63"/>
        <v>-3.6000000000000004E-2</v>
      </c>
      <c r="W69" s="1">
        <v>0.17499999999999999</v>
      </c>
      <c r="X69">
        <f t="shared" si="64"/>
        <v>-9.000000000000008E-3</v>
      </c>
      <c r="Y69" s="1">
        <v>0.16600000000000001</v>
      </c>
      <c r="Z69">
        <f t="shared" si="65"/>
        <v>-6.0999999999999999E-2</v>
      </c>
      <c r="AA69" s="1">
        <v>0.16200000000000001</v>
      </c>
      <c r="AB69">
        <f t="shared" si="66"/>
        <v>-0.03</v>
      </c>
      <c r="AC69" s="1">
        <v>0.17399999999999999</v>
      </c>
      <c r="AD69">
        <f t="shared" si="67"/>
        <v>-1.0000000000000009E-3</v>
      </c>
      <c r="AE69" s="1">
        <v>0.17</v>
      </c>
      <c r="AF69">
        <f t="shared" si="68"/>
        <v>-4.5999999999999985E-2</v>
      </c>
      <c r="AG69">
        <v>0.222</v>
      </c>
      <c r="AH69">
        <f t="shared" si="69"/>
        <v>5.7999999999999996E-2</v>
      </c>
      <c r="AI69">
        <v>0.17399999999999999</v>
      </c>
      <c r="AJ69">
        <f t="shared" si="70"/>
        <v>-2.0000000000000018E-3</v>
      </c>
      <c r="AK69">
        <v>0.17199999999999999</v>
      </c>
      <c r="AL69">
        <f t="shared" si="71"/>
        <v>-3.1000000000000028E-2</v>
      </c>
      <c r="AM69" s="1">
        <v>9.8000000000000004E-2</v>
      </c>
      <c r="AN69" s="2">
        <f t="shared" si="72"/>
        <v>-1.2999999999999998E-2</v>
      </c>
      <c r="AO69" s="1">
        <v>0.105</v>
      </c>
      <c r="AP69" s="2">
        <f t="shared" si="73"/>
        <v>-4.0000000000000036E-3</v>
      </c>
      <c r="AQ69" s="1">
        <v>0.153</v>
      </c>
      <c r="AR69" s="2">
        <f t="shared" si="74"/>
        <v>4.0999999999999995E-2</v>
      </c>
      <c r="AS69" s="1">
        <v>0.19</v>
      </c>
      <c r="AT69" s="2">
        <f t="shared" si="75"/>
        <v>-6.0000000000000053E-3</v>
      </c>
      <c r="AU69" s="1">
        <v>0.193</v>
      </c>
      <c r="AV69" s="2">
        <f t="shared" si="76"/>
        <v>-5.0000000000000044E-3</v>
      </c>
      <c r="AW69" s="1">
        <v>0.247</v>
      </c>
      <c r="AX69" s="2">
        <f t="shared" si="77"/>
        <v>4.1000000000000009E-2</v>
      </c>
      <c r="AY69" s="1">
        <v>0.21199999999999999</v>
      </c>
      <c r="AZ69">
        <f t="shared" si="78"/>
        <v>3.0000000000000027E-3</v>
      </c>
      <c r="BA69" s="1">
        <v>0.20300000000000001</v>
      </c>
      <c r="BB69">
        <f t="shared" si="79"/>
        <v>-2.9999999999999749E-3</v>
      </c>
      <c r="BC69" s="1">
        <v>0.20699999999999999</v>
      </c>
      <c r="BD69">
        <f t="shared" si="80"/>
        <v>-7.0000000000000062E-3</v>
      </c>
      <c r="BE69" s="1">
        <v>0.19800000000000001</v>
      </c>
      <c r="BF69">
        <f t="shared" si="81"/>
        <v>-1.8999999999999989E-2</v>
      </c>
      <c r="BG69" s="1">
        <v>0.20699999999999999</v>
      </c>
      <c r="BH69">
        <f t="shared" si="82"/>
        <v>2.0000000000000018E-3</v>
      </c>
      <c r="BI69" s="1">
        <v>0.221</v>
      </c>
      <c r="BJ69">
        <f t="shared" si="83"/>
        <v>1.5000000000000013E-2</v>
      </c>
      <c r="BK69" s="1">
        <v>0.19700000000000001</v>
      </c>
      <c r="BL69">
        <f t="shared" si="84"/>
        <v>-2.1999999999999992E-2</v>
      </c>
      <c r="BM69" s="1">
        <v>0.20499999999999999</v>
      </c>
      <c r="BN69">
        <f t="shared" si="85"/>
        <v>-1.100000000000001E-2</v>
      </c>
      <c r="BO69" s="1">
        <v>0.20899999999999999</v>
      </c>
      <c r="BP69">
        <f t="shared" si="86"/>
        <v>-1.2000000000000011E-2</v>
      </c>
      <c r="BQ69">
        <v>0.19500000000000001</v>
      </c>
      <c r="BR69">
        <f t="shared" si="87"/>
        <v>-2.3999999999999994E-2</v>
      </c>
      <c r="BS69">
        <v>0.20599999999999999</v>
      </c>
      <c r="BT69">
        <f t="shared" si="88"/>
        <v>3.9999999999999758E-3</v>
      </c>
      <c r="BU69">
        <v>0.20599999999999999</v>
      </c>
      <c r="BV69">
        <f t="shared" si="89"/>
        <v>-1.8000000000000016E-2</v>
      </c>
      <c r="BW69" s="1">
        <v>0.11</v>
      </c>
      <c r="BX69" s="2">
        <f t="shared" si="90"/>
        <v>-4.9000000000000002E-2</v>
      </c>
      <c r="BY69" s="1">
        <v>9.9000000000000005E-2</v>
      </c>
      <c r="BZ69" s="2">
        <f t="shared" si="91"/>
        <v>-4.9999999999999906E-3</v>
      </c>
      <c r="CA69" s="1">
        <v>0.161</v>
      </c>
      <c r="CB69" s="2">
        <f t="shared" si="92"/>
        <v>-0.32799999999999996</v>
      </c>
      <c r="CC69" s="1">
        <v>0.20399999999999999</v>
      </c>
      <c r="CD69" s="2">
        <f t="shared" si="93"/>
        <v>-1.100000000000001E-2</v>
      </c>
      <c r="CE69" s="1">
        <v>0.189</v>
      </c>
      <c r="CF69" s="2">
        <f t="shared" si="94"/>
        <v>7.0000000000000062E-3</v>
      </c>
      <c r="CG69" s="1">
        <v>0.24</v>
      </c>
      <c r="CH69" s="2">
        <f t="shared" si="95"/>
        <v>4.8999999999999988E-2</v>
      </c>
      <c r="CI69" s="1">
        <v>0.20399999999999999</v>
      </c>
      <c r="CJ69">
        <f t="shared" si="96"/>
        <v>-6.0000000000000053E-3</v>
      </c>
      <c r="CK69" s="1">
        <v>0.19</v>
      </c>
      <c r="CL69">
        <f t="shared" si="97"/>
        <v>-5.0000000000000044E-3</v>
      </c>
      <c r="CM69" s="1">
        <v>0.20899999999999999</v>
      </c>
      <c r="CN69">
        <f t="shared" si="98"/>
        <v>2.0000000000000018E-3</v>
      </c>
      <c r="CO69" s="1">
        <v>0.20699999999999999</v>
      </c>
      <c r="CP69">
        <f t="shared" si="99"/>
        <v>-1.0000000000000009E-2</v>
      </c>
      <c r="CQ69" s="1">
        <v>0.193</v>
      </c>
      <c r="CR69">
        <f t="shared" si="100"/>
        <v>-6.0000000000000053E-3</v>
      </c>
      <c r="CS69" s="1">
        <v>0.19700000000000001</v>
      </c>
      <c r="CT69">
        <f t="shared" si="101"/>
        <v>-3.0000000000000027E-3</v>
      </c>
      <c r="CU69" s="1">
        <v>0.20799999999999999</v>
      </c>
      <c r="CV69">
        <f t="shared" si="102"/>
        <v>-1.2000000000000011E-2</v>
      </c>
      <c r="CW69" s="1">
        <v>0.19400000000000001</v>
      </c>
      <c r="CX69">
        <f t="shared" si="103"/>
        <v>-1.1999999999999983E-2</v>
      </c>
      <c r="CY69" s="1">
        <v>0.20499999999999999</v>
      </c>
      <c r="CZ69">
        <f t="shared" si="104"/>
        <v>-3.0000000000000027E-3</v>
      </c>
      <c r="DA69">
        <v>0.20300000000000001</v>
      </c>
      <c r="DB69">
        <f t="shared" si="105"/>
        <v>-1.2999999999999984E-2</v>
      </c>
      <c r="DC69">
        <v>0.186</v>
      </c>
      <c r="DD69">
        <f t="shared" si="106"/>
        <v>-1.7000000000000015E-2</v>
      </c>
      <c r="DE69">
        <v>0.26100000000000001</v>
      </c>
      <c r="DF69">
        <f t="shared" si="107"/>
        <v>5.6000000000000022E-2</v>
      </c>
    </row>
    <row r="70" spans="1:110">
      <c r="A70" t="s">
        <v>191</v>
      </c>
      <c r="B70" t="s">
        <v>192</v>
      </c>
      <c r="C70" s="1">
        <v>0.10299999999999999</v>
      </c>
      <c r="D70" s="1">
        <f t="shared" si="54"/>
        <v>-2.1000000000000005E-2</v>
      </c>
      <c r="E70" s="1">
        <v>0.111</v>
      </c>
      <c r="F70">
        <f t="shared" si="55"/>
        <v>-6.9999999999999923E-3</v>
      </c>
      <c r="G70" s="1">
        <v>0.11700000000000001</v>
      </c>
      <c r="H70">
        <f t="shared" si="56"/>
        <v>-1.7000000000000001E-2</v>
      </c>
      <c r="I70" s="1">
        <v>0.96199999999999997</v>
      </c>
      <c r="J70">
        <f t="shared" si="57"/>
        <v>0.79</v>
      </c>
      <c r="K70" s="1">
        <v>1.012</v>
      </c>
      <c r="L70">
        <f t="shared" si="58"/>
        <v>0.83600000000000008</v>
      </c>
      <c r="M70" s="1">
        <v>1.0069999999999999</v>
      </c>
      <c r="N70">
        <f t="shared" si="59"/>
        <v>0.83999999999999986</v>
      </c>
      <c r="O70" s="1">
        <v>1.28</v>
      </c>
      <c r="P70">
        <f t="shared" si="60"/>
        <v>1.113</v>
      </c>
      <c r="Q70" s="1">
        <v>1.2889999999999999</v>
      </c>
      <c r="R70">
        <f t="shared" si="61"/>
        <v>1.1179999999999999</v>
      </c>
      <c r="S70" s="1">
        <v>1.2989999999999999</v>
      </c>
      <c r="T70">
        <f t="shared" si="62"/>
        <v>1.103</v>
      </c>
      <c r="U70" s="1">
        <v>1.33</v>
      </c>
      <c r="V70">
        <f t="shared" si="63"/>
        <v>1.1400000000000001</v>
      </c>
      <c r="W70" s="1">
        <v>1.341</v>
      </c>
      <c r="X70">
        <f t="shared" si="64"/>
        <v>1.157</v>
      </c>
      <c r="Y70" s="1">
        <v>1.3380000000000001</v>
      </c>
      <c r="Z70">
        <f t="shared" si="65"/>
        <v>1.111</v>
      </c>
      <c r="AA70" s="1">
        <v>1.409</v>
      </c>
      <c r="AB70">
        <f t="shared" si="66"/>
        <v>1.2170000000000001</v>
      </c>
      <c r="AC70" s="1">
        <v>1.512</v>
      </c>
      <c r="AD70">
        <f t="shared" si="67"/>
        <v>1.337</v>
      </c>
      <c r="AE70" s="1">
        <v>1.5049999999999999</v>
      </c>
      <c r="AF70">
        <f t="shared" si="68"/>
        <v>1.2889999999999999</v>
      </c>
      <c r="AG70">
        <v>1.6850000000000001</v>
      </c>
      <c r="AH70">
        <f t="shared" si="69"/>
        <v>1.5210000000000001</v>
      </c>
      <c r="AI70">
        <v>1.6459999999999999</v>
      </c>
      <c r="AJ70">
        <f t="shared" si="70"/>
        <v>1.47</v>
      </c>
      <c r="AK70">
        <v>1.677</v>
      </c>
      <c r="AL70">
        <f t="shared" si="71"/>
        <v>1.474</v>
      </c>
      <c r="AM70" s="1">
        <v>0.104</v>
      </c>
      <c r="AN70" s="2">
        <f t="shared" si="72"/>
        <v>-7.0000000000000062E-3</v>
      </c>
      <c r="AO70" s="1">
        <v>0.111</v>
      </c>
      <c r="AP70" s="2">
        <f t="shared" si="73"/>
        <v>2.0000000000000018E-3</v>
      </c>
      <c r="AQ70" s="1">
        <v>0.155</v>
      </c>
      <c r="AR70" s="2">
        <f t="shared" si="74"/>
        <v>4.2999999999999997E-2</v>
      </c>
      <c r="AS70" s="1">
        <v>0.92100000000000004</v>
      </c>
      <c r="AT70" s="2">
        <f t="shared" si="75"/>
        <v>0.72500000000000009</v>
      </c>
      <c r="AU70" s="1">
        <v>0.89500000000000002</v>
      </c>
      <c r="AV70" s="2">
        <f t="shared" si="76"/>
        <v>0.69700000000000006</v>
      </c>
      <c r="AW70" s="1">
        <v>0.91500000000000004</v>
      </c>
      <c r="AX70" s="2">
        <f t="shared" si="77"/>
        <v>0.70900000000000007</v>
      </c>
      <c r="AY70" s="1">
        <v>1.1160000000000001</v>
      </c>
      <c r="AZ70">
        <f t="shared" si="78"/>
        <v>0.90700000000000014</v>
      </c>
      <c r="BA70" s="1">
        <v>1.1080000000000001</v>
      </c>
      <c r="BB70">
        <f t="shared" si="79"/>
        <v>0.90200000000000014</v>
      </c>
      <c r="BC70" s="1">
        <v>1.0549999999999999</v>
      </c>
      <c r="BD70">
        <f t="shared" si="80"/>
        <v>0.84099999999999997</v>
      </c>
      <c r="BE70" s="1">
        <v>1.2050000000000001</v>
      </c>
      <c r="BF70">
        <f t="shared" si="81"/>
        <v>0.9880000000000001</v>
      </c>
      <c r="BG70" s="1">
        <v>1.2</v>
      </c>
      <c r="BH70">
        <f t="shared" si="82"/>
        <v>0.995</v>
      </c>
      <c r="BI70" s="1">
        <v>1.181</v>
      </c>
      <c r="BJ70">
        <f t="shared" si="83"/>
        <v>0.97500000000000009</v>
      </c>
      <c r="BK70" s="1">
        <v>1.2609999999999999</v>
      </c>
      <c r="BL70">
        <f t="shared" si="84"/>
        <v>1.0419999999999998</v>
      </c>
      <c r="BM70" s="1">
        <v>1.246</v>
      </c>
      <c r="BN70">
        <f t="shared" si="85"/>
        <v>1.03</v>
      </c>
      <c r="BO70" s="1">
        <v>1.2310000000000001</v>
      </c>
      <c r="BP70">
        <f t="shared" si="86"/>
        <v>1.01</v>
      </c>
      <c r="BQ70">
        <v>1.363</v>
      </c>
      <c r="BR70">
        <f t="shared" si="87"/>
        <v>1.1439999999999999</v>
      </c>
      <c r="BS70">
        <v>1.351</v>
      </c>
      <c r="BT70">
        <f t="shared" si="88"/>
        <v>1.149</v>
      </c>
      <c r="BU70">
        <v>1.496</v>
      </c>
      <c r="BV70">
        <f t="shared" si="89"/>
        <v>1.272</v>
      </c>
      <c r="BW70" s="1">
        <v>0.108</v>
      </c>
      <c r="BX70" s="2">
        <f t="shared" si="90"/>
        <v>-5.1000000000000004E-2</v>
      </c>
      <c r="BY70" s="1">
        <v>0.104</v>
      </c>
      <c r="BZ70" s="2">
        <f t="shared" si="91"/>
        <v>0</v>
      </c>
      <c r="CA70" s="1">
        <v>0.17399999999999999</v>
      </c>
      <c r="CB70" s="2">
        <f t="shared" si="92"/>
        <v>-0.315</v>
      </c>
      <c r="CC70" s="1">
        <v>0.84199999999999997</v>
      </c>
      <c r="CD70" s="2">
        <f t="shared" si="93"/>
        <v>0.627</v>
      </c>
      <c r="CE70" s="1">
        <v>0.79100000000000004</v>
      </c>
      <c r="CF70" s="2">
        <f t="shared" si="94"/>
        <v>0.60899999999999999</v>
      </c>
      <c r="CG70" s="1">
        <v>0.79400000000000004</v>
      </c>
      <c r="CH70" s="2">
        <f t="shared" si="95"/>
        <v>0.60299999999999998</v>
      </c>
      <c r="CI70" s="1">
        <v>1.0580000000000001</v>
      </c>
      <c r="CJ70">
        <f t="shared" si="96"/>
        <v>0.84800000000000009</v>
      </c>
      <c r="CK70" s="1">
        <v>1.016</v>
      </c>
      <c r="CL70">
        <f t="shared" si="97"/>
        <v>0.82099999999999995</v>
      </c>
      <c r="CM70" s="1">
        <v>1.016</v>
      </c>
      <c r="CN70">
        <f t="shared" si="98"/>
        <v>0.80900000000000005</v>
      </c>
      <c r="CO70" s="1">
        <v>1.1599999999999999</v>
      </c>
      <c r="CP70">
        <f t="shared" si="99"/>
        <v>0.94299999999999995</v>
      </c>
      <c r="CQ70" s="1">
        <v>1.1279999999999999</v>
      </c>
      <c r="CR70">
        <f t="shared" si="100"/>
        <v>0.92899999999999983</v>
      </c>
      <c r="CS70" s="1">
        <v>1.1200000000000001</v>
      </c>
      <c r="CT70">
        <f t="shared" si="101"/>
        <v>0.92000000000000015</v>
      </c>
      <c r="CU70" s="1">
        <v>1.1479999999999999</v>
      </c>
      <c r="CV70">
        <f t="shared" si="102"/>
        <v>0.92799999999999994</v>
      </c>
      <c r="CW70" s="1">
        <v>1.1279999999999999</v>
      </c>
      <c r="CX70">
        <f t="shared" si="103"/>
        <v>0.92199999999999993</v>
      </c>
      <c r="CY70" s="1">
        <v>1.143</v>
      </c>
      <c r="CZ70">
        <f t="shared" si="104"/>
        <v>0.93500000000000005</v>
      </c>
      <c r="DA70">
        <v>1.1919999999999999</v>
      </c>
      <c r="DB70">
        <f t="shared" si="105"/>
        <v>0.97599999999999998</v>
      </c>
      <c r="DC70">
        <v>1.1639999999999999</v>
      </c>
      <c r="DD70">
        <f t="shared" si="106"/>
        <v>0.96099999999999985</v>
      </c>
      <c r="DE70">
        <v>1.19</v>
      </c>
      <c r="DF70">
        <f t="shared" si="107"/>
        <v>0.98499999999999999</v>
      </c>
    </row>
    <row r="71" spans="1:110">
      <c r="A71" t="s">
        <v>193</v>
      </c>
      <c r="B71" t="s">
        <v>194</v>
      </c>
      <c r="C71" s="1">
        <v>0.184</v>
      </c>
      <c r="D71" s="1">
        <f t="shared" si="54"/>
        <v>0.06</v>
      </c>
      <c r="E71" s="1">
        <v>0.189</v>
      </c>
      <c r="F71">
        <f t="shared" si="55"/>
        <v>7.1000000000000008E-2</v>
      </c>
      <c r="G71" s="1">
        <v>0.17899999999999999</v>
      </c>
      <c r="H71">
        <f t="shared" si="56"/>
        <v>4.4999999999999984E-2</v>
      </c>
      <c r="I71" s="1">
        <v>0.307</v>
      </c>
      <c r="J71">
        <f t="shared" si="57"/>
        <v>0.13500000000000001</v>
      </c>
      <c r="K71" s="1">
        <v>0.33700000000000002</v>
      </c>
      <c r="L71">
        <f t="shared" si="58"/>
        <v>0.16100000000000003</v>
      </c>
      <c r="M71" s="1">
        <v>0.30299999999999999</v>
      </c>
      <c r="N71">
        <f t="shared" si="59"/>
        <v>0.13599999999999998</v>
      </c>
      <c r="O71" s="1">
        <v>0.31</v>
      </c>
      <c r="P71">
        <f t="shared" si="60"/>
        <v>0.14299999999999999</v>
      </c>
      <c r="Q71" s="1">
        <v>0.34799999999999998</v>
      </c>
      <c r="R71">
        <f t="shared" si="61"/>
        <v>0.17699999999999996</v>
      </c>
      <c r="S71" s="1">
        <v>0.28899999999999998</v>
      </c>
      <c r="T71">
        <f t="shared" si="62"/>
        <v>9.2999999999999972E-2</v>
      </c>
      <c r="U71" s="1">
        <v>0.30299999999999999</v>
      </c>
      <c r="V71">
        <f t="shared" si="63"/>
        <v>0.11299999999999999</v>
      </c>
      <c r="W71" s="1">
        <v>0.35499999999999998</v>
      </c>
      <c r="X71">
        <f t="shared" si="64"/>
        <v>0.17099999999999999</v>
      </c>
      <c r="Y71" s="1">
        <v>0.28799999999999998</v>
      </c>
      <c r="Z71">
        <f t="shared" si="65"/>
        <v>6.0999999999999971E-2</v>
      </c>
      <c r="AA71" s="1">
        <v>0.28999999999999998</v>
      </c>
      <c r="AB71">
        <f t="shared" si="66"/>
        <v>9.7999999999999976E-2</v>
      </c>
      <c r="AC71" s="1">
        <v>0.35599999999999998</v>
      </c>
      <c r="AD71">
        <f t="shared" si="67"/>
        <v>0.18099999999999999</v>
      </c>
      <c r="AE71" s="1">
        <v>0.3</v>
      </c>
      <c r="AF71">
        <f t="shared" si="68"/>
        <v>8.3999999999999991E-2</v>
      </c>
      <c r="AG71">
        <v>0.29099999999999998</v>
      </c>
      <c r="AH71">
        <f t="shared" si="69"/>
        <v>0.12699999999999997</v>
      </c>
      <c r="AI71">
        <v>0.34799999999999998</v>
      </c>
      <c r="AJ71">
        <f t="shared" si="70"/>
        <v>0.17199999999999999</v>
      </c>
      <c r="AK71">
        <v>0.30099999999999999</v>
      </c>
      <c r="AL71">
        <f t="shared" si="71"/>
        <v>9.7999999999999976E-2</v>
      </c>
      <c r="AM71" s="1">
        <v>0.187</v>
      </c>
      <c r="AN71" s="2">
        <f t="shared" si="72"/>
        <v>7.5999999999999998E-2</v>
      </c>
      <c r="AO71" s="1">
        <v>0.17</v>
      </c>
      <c r="AP71" s="2">
        <f t="shared" si="73"/>
        <v>6.1000000000000013E-2</v>
      </c>
      <c r="AQ71" s="1">
        <v>0.218</v>
      </c>
      <c r="AR71" s="2">
        <f t="shared" si="74"/>
        <v>0.106</v>
      </c>
      <c r="AS71" s="1">
        <v>0.36</v>
      </c>
      <c r="AT71" s="2">
        <f t="shared" si="75"/>
        <v>0.16399999999999998</v>
      </c>
      <c r="AU71" s="1">
        <v>0.36399999999999999</v>
      </c>
      <c r="AV71" s="2">
        <f t="shared" si="76"/>
        <v>0.16599999999999998</v>
      </c>
      <c r="AW71" s="1">
        <v>0.38100000000000001</v>
      </c>
      <c r="AX71" s="2">
        <f t="shared" si="77"/>
        <v>0.17500000000000002</v>
      </c>
      <c r="AY71" s="1">
        <v>0.39400000000000002</v>
      </c>
      <c r="AZ71">
        <f t="shared" si="78"/>
        <v>0.18500000000000003</v>
      </c>
      <c r="BA71" s="1">
        <v>0.40899999999999997</v>
      </c>
      <c r="BB71">
        <f t="shared" si="79"/>
        <v>0.20299999999999999</v>
      </c>
      <c r="BC71" s="1">
        <v>0.38700000000000001</v>
      </c>
      <c r="BD71">
        <f t="shared" si="80"/>
        <v>0.17300000000000001</v>
      </c>
      <c r="BE71" s="1">
        <v>0.38400000000000001</v>
      </c>
      <c r="BF71">
        <f t="shared" si="81"/>
        <v>0.16700000000000001</v>
      </c>
      <c r="BG71" s="1">
        <v>0.41199999999999998</v>
      </c>
      <c r="BH71">
        <f t="shared" si="82"/>
        <v>0.20699999999999999</v>
      </c>
      <c r="BI71" s="1">
        <v>0.4</v>
      </c>
      <c r="BJ71">
        <f t="shared" si="83"/>
        <v>0.19400000000000003</v>
      </c>
      <c r="BK71" s="1">
        <v>0.38</v>
      </c>
      <c r="BL71">
        <f t="shared" si="84"/>
        <v>0.161</v>
      </c>
      <c r="BM71" s="1">
        <v>0.42</v>
      </c>
      <c r="BN71">
        <f t="shared" si="85"/>
        <v>0.20399999999999999</v>
      </c>
      <c r="BO71" s="1">
        <v>0.41499999999999998</v>
      </c>
      <c r="BP71">
        <f t="shared" si="86"/>
        <v>0.19399999999999998</v>
      </c>
      <c r="BQ71">
        <v>0.38</v>
      </c>
      <c r="BR71">
        <f t="shared" si="87"/>
        <v>0.161</v>
      </c>
      <c r="BS71">
        <v>0.40400000000000003</v>
      </c>
      <c r="BT71">
        <f t="shared" si="88"/>
        <v>0.20200000000000001</v>
      </c>
      <c r="BU71">
        <v>0.41899999999999998</v>
      </c>
      <c r="BV71">
        <f t="shared" si="89"/>
        <v>0.19499999999999998</v>
      </c>
      <c r="BW71" s="1">
        <v>0.18099999999999999</v>
      </c>
      <c r="BX71" s="2">
        <f t="shared" si="90"/>
        <v>2.1999999999999992E-2</v>
      </c>
      <c r="BY71" s="1">
        <v>0.17399999999999999</v>
      </c>
      <c r="BZ71" s="2">
        <f t="shared" si="91"/>
        <v>6.9999999999999993E-2</v>
      </c>
      <c r="CA71" s="1">
        <v>0.221</v>
      </c>
      <c r="CB71" s="2">
        <f t="shared" si="92"/>
        <v>-0.26800000000000002</v>
      </c>
      <c r="CC71" s="1">
        <v>0.35899999999999999</v>
      </c>
      <c r="CD71" s="2">
        <f t="shared" si="93"/>
        <v>0.14399999999999999</v>
      </c>
      <c r="CE71" s="1">
        <v>0.32600000000000001</v>
      </c>
      <c r="CF71" s="2">
        <f t="shared" si="94"/>
        <v>0.14400000000000002</v>
      </c>
      <c r="CG71" s="1">
        <v>0.35899999999999999</v>
      </c>
      <c r="CH71" s="2">
        <f t="shared" si="95"/>
        <v>0.16799999999999998</v>
      </c>
      <c r="CI71" s="1">
        <v>0.40799999999999997</v>
      </c>
      <c r="CJ71">
        <f t="shared" si="96"/>
        <v>0.19799999999999998</v>
      </c>
      <c r="CK71" s="1">
        <v>0.36199999999999999</v>
      </c>
      <c r="CL71">
        <f t="shared" si="97"/>
        <v>0.16699999999999998</v>
      </c>
      <c r="CM71" s="1">
        <v>0.32900000000000001</v>
      </c>
      <c r="CN71">
        <f t="shared" si="98"/>
        <v>0.12200000000000003</v>
      </c>
      <c r="CO71" s="1">
        <v>0.39500000000000002</v>
      </c>
      <c r="CP71">
        <f t="shared" si="99"/>
        <v>0.17800000000000002</v>
      </c>
      <c r="CQ71" s="1">
        <v>0.36</v>
      </c>
      <c r="CR71">
        <f t="shared" si="100"/>
        <v>0.16099999999999998</v>
      </c>
      <c r="CS71" s="1">
        <v>0.32200000000000001</v>
      </c>
      <c r="CT71">
        <f t="shared" si="101"/>
        <v>0.122</v>
      </c>
      <c r="CU71" s="1">
        <v>0.39500000000000002</v>
      </c>
      <c r="CV71">
        <f t="shared" si="102"/>
        <v>0.17500000000000002</v>
      </c>
      <c r="CW71" s="1">
        <v>0.36399999999999999</v>
      </c>
      <c r="CX71">
        <f t="shared" si="103"/>
        <v>0.158</v>
      </c>
      <c r="CY71" s="1">
        <v>0.32100000000000001</v>
      </c>
      <c r="CZ71">
        <f t="shared" si="104"/>
        <v>0.11300000000000002</v>
      </c>
      <c r="DA71">
        <v>0.39</v>
      </c>
      <c r="DB71">
        <f t="shared" si="105"/>
        <v>0.17400000000000002</v>
      </c>
      <c r="DC71">
        <v>0.36199999999999999</v>
      </c>
      <c r="DD71">
        <f t="shared" si="106"/>
        <v>0.15899999999999997</v>
      </c>
      <c r="DE71">
        <v>0.318</v>
      </c>
      <c r="DF71">
        <f t="shared" si="107"/>
        <v>0.11300000000000002</v>
      </c>
    </row>
    <row r="72" spans="1:110">
      <c r="A72" t="s">
        <v>195</v>
      </c>
      <c r="B72" t="s">
        <v>196</v>
      </c>
      <c r="C72" s="1">
        <v>0.17599999999999999</v>
      </c>
      <c r="D72" s="1">
        <f t="shared" si="54"/>
        <v>5.1999999999999991E-2</v>
      </c>
      <c r="E72" s="1">
        <v>0.191</v>
      </c>
      <c r="F72">
        <f t="shared" si="55"/>
        <v>7.3000000000000009E-2</v>
      </c>
      <c r="G72" s="1">
        <v>0.16400000000000001</v>
      </c>
      <c r="H72">
        <f t="shared" si="56"/>
        <v>0.03</v>
      </c>
      <c r="I72" s="1">
        <v>1.2250000000000001</v>
      </c>
      <c r="J72">
        <f t="shared" si="57"/>
        <v>1.0530000000000002</v>
      </c>
      <c r="K72" s="1">
        <v>1.7689999999999999</v>
      </c>
      <c r="L72">
        <f t="shared" si="58"/>
        <v>1.593</v>
      </c>
      <c r="M72" s="1">
        <v>1.5940000000000001</v>
      </c>
      <c r="N72">
        <f t="shared" si="59"/>
        <v>1.427</v>
      </c>
      <c r="O72" s="1">
        <v>2.8839999999999999</v>
      </c>
      <c r="P72">
        <f t="shared" si="60"/>
        <v>2.7170000000000001</v>
      </c>
      <c r="Q72" s="1">
        <v>2.9020000000000001</v>
      </c>
      <c r="R72">
        <f t="shared" si="61"/>
        <v>2.7310000000000003</v>
      </c>
      <c r="S72" s="1">
        <v>2.9060000000000001</v>
      </c>
      <c r="T72">
        <f t="shared" si="62"/>
        <v>2.71</v>
      </c>
      <c r="U72" s="1">
        <v>2.9529999999999998</v>
      </c>
      <c r="V72">
        <f t="shared" si="63"/>
        <v>2.7629999999999999</v>
      </c>
      <c r="W72" s="1">
        <v>2.956</v>
      </c>
      <c r="X72">
        <f t="shared" si="64"/>
        <v>2.7719999999999998</v>
      </c>
      <c r="Y72" s="1">
        <v>2.9580000000000002</v>
      </c>
      <c r="Z72">
        <f t="shared" si="65"/>
        <v>2.7310000000000003</v>
      </c>
      <c r="AA72" s="1">
        <v>2.8959999999999999</v>
      </c>
      <c r="AB72">
        <f t="shared" si="66"/>
        <v>2.7039999999999997</v>
      </c>
      <c r="AC72" s="1">
        <v>2.9540000000000002</v>
      </c>
      <c r="AD72">
        <f t="shared" si="67"/>
        <v>2.7790000000000004</v>
      </c>
      <c r="AE72" s="1">
        <v>2.9620000000000002</v>
      </c>
      <c r="AF72">
        <f t="shared" si="68"/>
        <v>2.746</v>
      </c>
      <c r="AG72">
        <v>2.9860000000000002</v>
      </c>
      <c r="AH72">
        <f t="shared" si="69"/>
        <v>2.8220000000000001</v>
      </c>
      <c r="AI72">
        <v>2.964</v>
      </c>
      <c r="AJ72">
        <f t="shared" si="70"/>
        <v>2.7879999999999998</v>
      </c>
      <c r="AK72">
        <v>2.9660000000000002</v>
      </c>
      <c r="AL72">
        <f t="shared" si="71"/>
        <v>2.7630000000000003</v>
      </c>
      <c r="AM72" s="1">
        <v>0.191</v>
      </c>
      <c r="AN72" s="2">
        <f t="shared" si="72"/>
        <v>0.08</v>
      </c>
      <c r="AO72" s="1">
        <v>0.17100000000000001</v>
      </c>
      <c r="AP72" s="2">
        <f t="shared" si="73"/>
        <v>6.2000000000000013E-2</v>
      </c>
      <c r="AQ72" s="1">
        <v>0.16900000000000001</v>
      </c>
      <c r="AR72" s="2">
        <f t="shared" si="74"/>
        <v>5.7000000000000009E-2</v>
      </c>
      <c r="AS72" s="1">
        <v>1.1459999999999999</v>
      </c>
      <c r="AT72" s="2">
        <f t="shared" si="75"/>
        <v>0.95</v>
      </c>
      <c r="AU72" s="1">
        <v>1.141</v>
      </c>
      <c r="AV72" s="2">
        <f t="shared" si="76"/>
        <v>0.94300000000000006</v>
      </c>
      <c r="AW72" s="1">
        <v>1.256</v>
      </c>
      <c r="AX72" s="2">
        <f t="shared" si="77"/>
        <v>1.05</v>
      </c>
      <c r="AY72" s="1">
        <v>2.7120000000000002</v>
      </c>
      <c r="AZ72">
        <f t="shared" si="78"/>
        <v>2.5030000000000001</v>
      </c>
      <c r="BA72" s="1">
        <v>2.6930000000000001</v>
      </c>
      <c r="BB72">
        <f t="shared" si="79"/>
        <v>2.4870000000000001</v>
      </c>
      <c r="BC72" s="1">
        <v>2.7989999999999999</v>
      </c>
      <c r="BD72">
        <f t="shared" si="80"/>
        <v>2.585</v>
      </c>
      <c r="BE72" s="1">
        <v>2.8889999999999998</v>
      </c>
      <c r="BF72">
        <f t="shared" si="81"/>
        <v>2.6719999999999997</v>
      </c>
      <c r="BG72" s="1">
        <v>2.855</v>
      </c>
      <c r="BH72">
        <f t="shared" si="82"/>
        <v>2.65</v>
      </c>
      <c r="BI72" s="1">
        <v>2.8769999999999998</v>
      </c>
      <c r="BJ72">
        <f t="shared" si="83"/>
        <v>2.6709999999999998</v>
      </c>
      <c r="BK72" s="1">
        <v>2.9390000000000001</v>
      </c>
      <c r="BL72">
        <f t="shared" si="84"/>
        <v>2.72</v>
      </c>
      <c r="BM72" s="1">
        <v>2.919</v>
      </c>
      <c r="BN72">
        <f t="shared" si="85"/>
        <v>2.7029999999999998</v>
      </c>
      <c r="BO72" s="1">
        <v>2.9249999999999998</v>
      </c>
      <c r="BP72">
        <f t="shared" si="86"/>
        <v>2.7039999999999997</v>
      </c>
      <c r="BQ72">
        <v>2.9580000000000002</v>
      </c>
      <c r="BR72">
        <f t="shared" si="87"/>
        <v>2.7390000000000003</v>
      </c>
      <c r="BS72">
        <v>2.94</v>
      </c>
      <c r="BT72">
        <f t="shared" si="88"/>
        <v>2.738</v>
      </c>
      <c r="BU72">
        <v>2.9580000000000002</v>
      </c>
      <c r="BV72">
        <f t="shared" si="89"/>
        <v>2.734</v>
      </c>
      <c r="BW72" s="1">
        <v>0.16900000000000001</v>
      </c>
      <c r="BX72" s="2">
        <f t="shared" si="90"/>
        <v>1.0000000000000009E-2</v>
      </c>
      <c r="BY72" s="1">
        <v>0.16600000000000001</v>
      </c>
      <c r="BZ72" s="2">
        <f t="shared" si="91"/>
        <v>6.2000000000000013E-2</v>
      </c>
      <c r="CA72" s="1">
        <v>0.16400000000000001</v>
      </c>
      <c r="CB72" s="2">
        <f t="shared" si="92"/>
        <v>-0.32499999999999996</v>
      </c>
      <c r="CC72" s="1">
        <v>0.91700000000000004</v>
      </c>
      <c r="CD72" s="2">
        <f t="shared" si="93"/>
        <v>0.70200000000000007</v>
      </c>
      <c r="CE72" s="1">
        <v>0.88</v>
      </c>
      <c r="CF72" s="2">
        <f t="shared" si="94"/>
        <v>0.69799999999999995</v>
      </c>
      <c r="CG72" s="1">
        <v>0.93200000000000005</v>
      </c>
      <c r="CH72" s="2">
        <f t="shared" si="95"/>
        <v>0.7410000000000001</v>
      </c>
      <c r="CI72" s="1">
        <v>2.528</v>
      </c>
      <c r="CJ72">
        <f t="shared" si="96"/>
        <v>2.3180000000000001</v>
      </c>
      <c r="CK72" s="1">
        <v>2.5350000000000001</v>
      </c>
      <c r="CL72">
        <f t="shared" si="97"/>
        <v>2.3400000000000003</v>
      </c>
      <c r="CM72" s="1">
        <v>2.484</v>
      </c>
      <c r="CN72">
        <f t="shared" si="98"/>
        <v>2.2770000000000001</v>
      </c>
      <c r="CO72" s="1">
        <v>2.8319999999999999</v>
      </c>
      <c r="CP72">
        <f t="shared" si="99"/>
        <v>2.6149999999999998</v>
      </c>
      <c r="CQ72" s="1">
        <v>2.8780000000000001</v>
      </c>
      <c r="CR72">
        <f t="shared" si="100"/>
        <v>2.6790000000000003</v>
      </c>
      <c r="CS72" s="1">
        <v>2.883</v>
      </c>
      <c r="CT72">
        <f t="shared" si="101"/>
        <v>2.6829999999999998</v>
      </c>
      <c r="CU72" s="1">
        <v>2.8849999999999998</v>
      </c>
      <c r="CV72">
        <f t="shared" si="102"/>
        <v>2.6649999999999996</v>
      </c>
      <c r="CW72" s="1">
        <v>2.9359999999999999</v>
      </c>
      <c r="CX72">
        <f t="shared" si="103"/>
        <v>2.73</v>
      </c>
      <c r="CY72" s="1">
        <v>2.93</v>
      </c>
      <c r="CZ72">
        <f t="shared" si="104"/>
        <v>2.722</v>
      </c>
      <c r="DA72">
        <v>2.9380000000000002</v>
      </c>
      <c r="DB72">
        <f t="shared" si="105"/>
        <v>2.722</v>
      </c>
      <c r="DC72">
        <v>2.9340000000000002</v>
      </c>
      <c r="DD72">
        <f t="shared" si="106"/>
        <v>2.7310000000000003</v>
      </c>
      <c r="DE72">
        <v>2.9350000000000001</v>
      </c>
      <c r="DF72">
        <f t="shared" si="107"/>
        <v>2.73</v>
      </c>
    </row>
    <row r="73" spans="1:110">
      <c r="A73" t="s">
        <v>197</v>
      </c>
      <c r="B73" t="s">
        <v>198</v>
      </c>
      <c r="C73" s="1">
        <v>0.11899999999999999</v>
      </c>
      <c r="D73" s="1">
        <f t="shared" si="54"/>
        <v>-5.0000000000000044E-3</v>
      </c>
      <c r="E73" s="1">
        <v>0.122</v>
      </c>
      <c r="F73">
        <f t="shared" si="55"/>
        <v>4.0000000000000036E-3</v>
      </c>
      <c r="G73" s="1">
        <v>0.111</v>
      </c>
      <c r="H73">
        <f t="shared" si="56"/>
        <v>-2.3000000000000007E-2</v>
      </c>
      <c r="I73" s="1">
        <v>0.152</v>
      </c>
      <c r="J73">
        <f t="shared" si="57"/>
        <v>-1.999999999999999E-2</v>
      </c>
      <c r="K73" s="1">
        <v>0.193</v>
      </c>
      <c r="L73">
        <f t="shared" si="58"/>
        <v>1.7000000000000015E-2</v>
      </c>
      <c r="M73" s="1">
        <v>0.17699999999999999</v>
      </c>
      <c r="N73">
        <f t="shared" si="59"/>
        <v>9.9999999999999811E-3</v>
      </c>
      <c r="O73" s="1">
        <v>0.17399999999999999</v>
      </c>
      <c r="P73">
        <f t="shared" si="60"/>
        <v>6.9999999999999785E-3</v>
      </c>
      <c r="Q73" s="1">
        <v>0.16200000000000001</v>
      </c>
      <c r="R73">
        <f t="shared" si="61"/>
        <v>-9.000000000000008E-3</v>
      </c>
      <c r="S73" s="1">
        <v>0.16300000000000001</v>
      </c>
      <c r="T73">
        <f t="shared" si="62"/>
        <v>-3.3000000000000002E-2</v>
      </c>
      <c r="U73" s="1">
        <v>0.17100000000000001</v>
      </c>
      <c r="V73">
        <f t="shared" si="63"/>
        <v>-1.8999999999999989E-2</v>
      </c>
      <c r="W73" s="1">
        <v>0.155</v>
      </c>
      <c r="X73">
        <f t="shared" si="64"/>
        <v>-2.8999999999999998E-2</v>
      </c>
      <c r="Y73" s="1">
        <v>0.14299999999999999</v>
      </c>
      <c r="Z73">
        <f t="shared" si="65"/>
        <v>-8.4000000000000019E-2</v>
      </c>
      <c r="AA73" s="1">
        <v>0.16900000000000001</v>
      </c>
      <c r="AB73">
        <f t="shared" si="66"/>
        <v>-2.2999999999999993E-2</v>
      </c>
      <c r="AC73" s="1">
        <v>0.156</v>
      </c>
      <c r="AD73">
        <f t="shared" si="67"/>
        <v>-1.8999999999999989E-2</v>
      </c>
      <c r="AE73" s="1">
        <v>0.13900000000000001</v>
      </c>
      <c r="AF73">
        <f t="shared" si="68"/>
        <v>-7.6999999999999985E-2</v>
      </c>
      <c r="AG73">
        <v>0.154</v>
      </c>
      <c r="AH73">
        <f t="shared" si="69"/>
        <v>-1.0000000000000009E-2</v>
      </c>
      <c r="AI73">
        <v>0.157</v>
      </c>
      <c r="AJ73">
        <f t="shared" si="70"/>
        <v>-1.8999999999999989E-2</v>
      </c>
      <c r="AK73">
        <v>0.13100000000000001</v>
      </c>
      <c r="AL73">
        <f t="shared" si="71"/>
        <v>-7.2000000000000008E-2</v>
      </c>
      <c r="AM73" s="1">
        <v>0.10299999999999999</v>
      </c>
      <c r="AN73" s="2">
        <f t="shared" si="72"/>
        <v>-8.0000000000000071E-3</v>
      </c>
      <c r="AO73" s="1">
        <v>0.104</v>
      </c>
      <c r="AP73" s="2">
        <f t="shared" si="73"/>
        <v>-5.0000000000000044E-3</v>
      </c>
      <c r="AQ73" s="1">
        <v>0.16200000000000001</v>
      </c>
      <c r="AR73" s="2">
        <f t="shared" si="74"/>
        <v>0.05</v>
      </c>
      <c r="AS73" s="1">
        <v>0.124</v>
      </c>
      <c r="AT73" s="2">
        <f t="shared" si="75"/>
        <v>-7.2000000000000008E-2</v>
      </c>
      <c r="AU73" s="1">
        <v>0.124</v>
      </c>
      <c r="AV73" s="2">
        <f t="shared" si="76"/>
        <v>-7.400000000000001E-2</v>
      </c>
      <c r="AW73" s="1">
        <v>0.13200000000000001</v>
      </c>
      <c r="AX73" s="2">
        <f t="shared" si="77"/>
        <v>-7.3999999999999982E-2</v>
      </c>
      <c r="AY73" s="1">
        <v>0.11899999999999999</v>
      </c>
      <c r="AZ73">
        <f t="shared" si="78"/>
        <v>-0.09</v>
      </c>
      <c r="BA73" s="1">
        <v>0.12</v>
      </c>
      <c r="BB73">
        <f t="shared" si="79"/>
        <v>-8.5999999999999993E-2</v>
      </c>
      <c r="BC73" s="1">
        <v>0.125</v>
      </c>
      <c r="BD73">
        <f t="shared" si="80"/>
        <v>-8.8999999999999996E-2</v>
      </c>
      <c r="BE73" s="1">
        <v>0.11899999999999999</v>
      </c>
      <c r="BF73">
        <f t="shared" si="81"/>
        <v>-9.8000000000000004E-2</v>
      </c>
      <c r="BG73" s="1">
        <v>0.11799999999999999</v>
      </c>
      <c r="BH73">
        <f t="shared" si="82"/>
        <v>-8.6999999999999994E-2</v>
      </c>
      <c r="BI73" s="1">
        <v>0.128</v>
      </c>
      <c r="BJ73">
        <f t="shared" si="83"/>
        <v>-7.7999999999999986E-2</v>
      </c>
      <c r="BK73" s="1">
        <v>0.11899999999999999</v>
      </c>
      <c r="BL73">
        <f t="shared" si="84"/>
        <v>-0.1</v>
      </c>
      <c r="BM73" s="1">
        <v>0.12</v>
      </c>
      <c r="BN73">
        <f t="shared" si="85"/>
        <v>-9.6000000000000002E-2</v>
      </c>
      <c r="BO73" s="1">
        <v>0.128</v>
      </c>
      <c r="BP73">
        <f t="shared" si="86"/>
        <v>-9.2999999999999999E-2</v>
      </c>
      <c r="BQ73">
        <v>0.12</v>
      </c>
      <c r="BR73">
        <f t="shared" si="87"/>
        <v>-9.9000000000000005E-2</v>
      </c>
      <c r="BS73">
        <v>0.12</v>
      </c>
      <c r="BT73">
        <f t="shared" si="88"/>
        <v>-8.2000000000000017E-2</v>
      </c>
      <c r="BU73">
        <v>0.127</v>
      </c>
      <c r="BV73">
        <f t="shared" si="89"/>
        <v>-9.7000000000000003E-2</v>
      </c>
      <c r="BW73" s="1">
        <v>0.114</v>
      </c>
      <c r="BX73" s="2">
        <f t="shared" si="90"/>
        <v>-4.4999999999999998E-2</v>
      </c>
      <c r="BY73" s="1">
        <v>9.7000000000000003E-2</v>
      </c>
      <c r="BZ73" s="2">
        <f t="shared" si="91"/>
        <v>-6.9999999999999923E-3</v>
      </c>
      <c r="CA73" s="1">
        <v>0.13100000000000001</v>
      </c>
      <c r="CB73" s="2">
        <f t="shared" si="92"/>
        <v>-0.35799999999999998</v>
      </c>
      <c r="CC73" s="1">
        <v>0.13100000000000001</v>
      </c>
      <c r="CD73" s="2">
        <f t="shared" si="93"/>
        <v>-8.3999999999999991E-2</v>
      </c>
      <c r="CE73" s="1">
        <v>0.13100000000000001</v>
      </c>
      <c r="CF73" s="2">
        <f t="shared" si="94"/>
        <v>-5.099999999999999E-2</v>
      </c>
      <c r="CG73" s="1">
        <v>0.153</v>
      </c>
      <c r="CH73" s="2">
        <f t="shared" si="95"/>
        <v>-3.8000000000000006E-2</v>
      </c>
      <c r="CI73" s="1">
        <v>0.125</v>
      </c>
      <c r="CJ73">
        <f t="shared" si="96"/>
        <v>-8.4999999999999992E-2</v>
      </c>
      <c r="CK73" s="1">
        <v>0.109</v>
      </c>
      <c r="CL73">
        <f t="shared" si="97"/>
        <v>-8.6000000000000007E-2</v>
      </c>
      <c r="CM73" s="1">
        <v>0.122</v>
      </c>
      <c r="CN73">
        <f t="shared" si="98"/>
        <v>-8.4999999999999992E-2</v>
      </c>
      <c r="CO73" s="1">
        <v>0.125</v>
      </c>
      <c r="CP73">
        <f t="shared" si="99"/>
        <v>-9.1999999999999998E-2</v>
      </c>
      <c r="CQ73" s="1">
        <v>0.109</v>
      </c>
      <c r="CR73">
        <f t="shared" si="100"/>
        <v>-9.0000000000000011E-2</v>
      </c>
      <c r="CS73" s="1">
        <v>0.121</v>
      </c>
      <c r="CT73">
        <f t="shared" si="101"/>
        <v>-7.9000000000000015E-2</v>
      </c>
      <c r="CU73" s="1">
        <v>0.127</v>
      </c>
      <c r="CV73">
        <f t="shared" si="102"/>
        <v>-9.2999999999999999E-2</v>
      </c>
      <c r="CW73" s="1">
        <v>0.11</v>
      </c>
      <c r="CX73">
        <f t="shared" si="103"/>
        <v>-9.5999999999999988E-2</v>
      </c>
      <c r="CY73" s="1">
        <v>0.129</v>
      </c>
      <c r="CZ73">
        <f t="shared" si="104"/>
        <v>-7.8999999999999987E-2</v>
      </c>
      <c r="DA73">
        <v>0.127</v>
      </c>
      <c r="DB73">
        <f t="shared" si="105"/>
        <v>-8.8999999999999996E-2</v>
      </c>
      <c r="DC73">
        <v>0.111</v>
      </c>
      <c r="DD73">
        <f t="shared" si="106"/>
        <v>-9.2000000000000012E-2</v>
      </c>
      <c r="DE73">
        <v>0.124</v>
      </c>
      <c r="DF73">
        <f t="shared" si="107"/>
        <v>-8.0999999999999989E-2</v>
      </c>
    </row>
    <row r="74" spans="1:110">
      <c r="A74" t="s">
        <v>199</v>
      </c>
      <c r="B74" t="s">
        <v>200</v>
      </c>
      <c r="C74" s="1">
        <v>0.104</v>
      </c>
      <c r="D74" s="1">
        <f t="shared" si="54"/>
        <v>-2.0000000000000004E-2</v>
      </c>
      <c r="E74" s="1">
        <v>0.108</v>
      </c>
      <c r="F74">
        <f t="shared" si="55"/>
        <v>-9.999999999999995E-3</v>
      </c>
      <c r="G74" s="1">
        <v>0.14899999999999999</v>
      </c>
      <c r="H74">
        <f t="shared" si="56"/>
        <v>1.4999999999999986E-2</v>
      </c>
      <c r="I74" s="1">
        <v>0.36499999999999999</v>
      </c>
      <c r="J74">
        <f t="shared" si="57"/>
        <v>0.193</v>
      </c>
      <c r="K74" s="1">
        <v>0.11</v>
      </c>
      <c r="L74">
        <f t="shared" si="58"/>
        <v>-6.5999999999999989E-2</v>
      </c>
      <c r="M74" s="1">
        <v>0.379</v>
      </c>
      <c r="N74">
        <f t="shared" si="59"/>
        <v>0.21199999999999999</v>
      </c>
      <c r="O74" s="1">
        <v>0.64200000000000002</v>
      </c>
      <c r="P74">
        <f t="shared" si="60"/>
        <v>0.47499999999999998</v>
      </c>
      <c r="Q74" s="1">
        <v>0.108</v>
      </c>
      <c r="R74">
        <f t="shared" si="61"/>
        <v>-6.3000000000000014E-2</v>
      </c>
      <c r="S74" s="1">
        <v>0.65100000000000002</v>
      </c>
      <c r="T74">
        <f t="shared" si="62"/>
        <v>0.45500000000000002</v>
      </c>
      <c r="U74" s="1">
        <v>0.51</v>
      </c>
      <c r="V74">
        <f t="shared" si="63"/>
        <v>0.32</v>
      </c>
      <c r="W74" s="1">
        <v>0.109</v>
      </c>
      <c r="X74">
        <f t="shared" si="64"/>
        <v>-7.4999999999999997E-2</v>
      </c>
      <c r="Y74" s="1">
        <v>0.55700000000000005</v>
      </c>
      <c r="Z74">
        <f t="shared" si="65"/>
        <v>0.33000000000000007</v>
      </c>
      <c r="AA74" s="1">
        <v>0.51100000000000001</v>
      </c>
      <c r="AB74">
        <f t="shared" si="66"/>
        <v>0.31900000000000001</v>
      </c>
      <c r="AC74" s="1">
        <v>0.112</v>
      </c>
      <c r="AD74">
        <f t="shared" si="67"/>
        <v>-6.2999999999999987E-2</v>
      </c>
      <c r="AE74" s="1">
        <v>0.56000000000000005</v>
      </c>
      <c r="AF74">
        <f t="shared" si="68"/>
        <v>0.34400000000000008</v>
      </c>
      <c r="AG74">
        <v>0.50800000000000001</v>
      </c>
      <c r="AH74">
        <f t="shared" si="69"/>
        <v>0.34399999999999997</v>
      </c>
      <c r="AI74">
        <v>0.115</v>
      </c>
      <c r="AJ74">
        <f t="shared" si="70"/>
        <v>-6.0999999999999985E-2</v>
      </c>
      <c r="AK74">
        <v>0.56000000000000005</v>
      </c>
      <c r="AL74">
        <f t="shared" si="71"/>
        <v>0.35700000000000004</v>
      </c>
      <c r="AM74" s="1">
        <v>0.111</v>
      </c>
      <c r="AN74" s="2">
        <f t="shared" si="72"/>
        <v>0</v>
      </c>
      <c r="AO74" s="1">
        <v>0.10299999999999999</v>
      </c>
      <c r="AP74" s="2">
        <f t="shared" si="73"/>
        <v>-6.0000000000000053E-3</v>
      </c>
      <c r="AQ74" s="1">
        <v>0.192</v>
      </c>
      <c r="AR74" s="2">
        <f t="shared" si="74"/>
        <v>0.08</v>
      </c>
      <c r="AS74" s="1">
        <v>0.59799999999999998</v>
      </c>
      <c r="AT74" s="2">
        <f t="shared" si="75"/>
        <v>0.40199999999999997</v>
      </c>
      <c r="AU74" s="1">
        <v>0.60099999999999998</v>
      </c>
      <c r="AV74" s="2">
        <f t="shared" si="76"/>
        <v>0.40299999999999997</v>
      </c>
      <c r="AW74" s="1">
        <v>0.66100000000000003</v>
      </c>
      <c r="AX74" s="2">
        <f t="shared" si="77"/>
        <v>0.45500000000000007</v>
      </c>
      <c r="AY74" s="1">
        <v>1.0129999999999999</v>
      </c>
      <c r="AZ74">
        <f t="shared" si="78"/>
        <v>0.80399999999999994</v>
      </c>
      <c r="BA74" s="1">
        <v>0.998</v>
      </c>
      <c r="BB74">
        <f t="shared" si="79"/>
        <v>0.79200000000000004</v>
      </c>
      <c r="BC74" s="1">
        <v>0.96499999999999997</v>
      </c>
      <c r="BD74">
        <f t="shared" si="80"/>
        <v>0.751</v>
      </c>
      <c r="BE74" s="1">
        <v>0.96199999999999997</v>
      </c>
      <c r="BF74">
        <f t="shared" si="81"/>
        <v>0.745</v>
      </c>
      <c r="BG74" s="1">
        <v>0.95399999999999996</v>
      </c>
      <c r="BH74">
        <f t="shared" si="82"/>
        <v>0.749</v>
      </c>
      <c r="BI74" s="1">
        <v>0.94299999999999995</v>
      </c>
      <c r="BJ74">
        <f t="shared" si="83"/>
        <v>0.73699999999999999</v>
      </c>
      <c r="BK74" s="1">
        <v>0.95399999999999996</v>
      </c>
      <c r="BL74">
        <f t="shared" si="84"/>
        <v>0.73499999999999999</v>
      </c>
      <c r="BM74" s="1">
        <v>0.94499999999999995</v>
      </c>
      <c r="BN74">
        <f t="shared" si="85"/>
        <v>0.72899999999999998</v>
      </c>
      <c r="BO74" s="1">
        <v>0.91900000000000004</v>
      </c>
      <c r="BP74">
        <f t="shared" si="86"/>
        <v>0.69800000000000006</v>
      </c>
      <c r="BQ74">
        <v>0.94599999999999995</v>
      </c>
      <c r="BR74">
        <f t="shared" si="87"/>
        <v>0.72699999999999998</v>
      </c>
      <c r="BS74">
        <v>0.94499999999999995</v>
      </c>
      <c r="BT74">
        <f t="shared" si="88"/>
        <v>0.74299999999999988</v>
      </c>
      <c r="BU74">
        <v>0.92300000000000004</v>
      </c>
      <c r="BV74">
        <f t="shared" si="89"/>
        <v>0.69900000000000007</v>
      </c>
      <c r="BW74" s="1">
        <v>0.11600000000000001</v>
      </c>
      <c r="BX74" s="2">
        <f t="shared" si="90"/>
        <v>-4.2999999999999997E-2</v>
      </c>
      <c r="BY74" s="1">
        <v>9.5000000000000001E-2</v>
      </c>
      <c r="BZ74" s="2">
        <f t="shared" si="91"/>
        <v>-8.9999999999999941E-3</v>
      </c>
      <c r="CA74" s="1">
        <v>0.26500000000000001</v>
      </c>
      <c r="CB74" s="2">
        <f t="shared" si="92"/>
        <v>-0.22399999999999998</v>
      </c>
      <c r="CC74" s="1">
        <v>0.65</v>
      </c>
      <c r="CD74" s="2">
        <f t="shared" si="93"/>
        <v>0.43500000000000005</v>
      </c>
      <c r="CE74" s="1">
        <v>0.56399999999999995</v>
      </c>
      <c r="CF74" s="2">
        <f t="shared" si="94"/>
        <v>0.38199999999999995</v>
      </c>
      <c r="CG74" s="1">
        <v>0.63700000000000001</v>
      </c>
      <c r="CH74" s="2">
        <f t="shared" si="95"/>
        <v>0.44600000000000001</v>
      </c>
      <c r="CI74" s="1">
        <v>1.016</v>
      </c>
      <c r="CJ74">
        <f t="shared" si="96"/>
        <v>0.80600000000000005</v>
      </c>
      <c r="CK74" s="1">
        <v>0.98</v>
      </c>
      <c r="CL74">
        <f t="shared" si="97"/>
        <v>0.78499999999999992</v>
      </c>
      <c r="CM74" s="1">
        <v>0.95399999999999996</v>
      </c>
      <c r="CN74">
        <f t="shared" si="98"/>
        <v>0.747</v>
      </c>
      <c r="CO74" s="1">
        <v>0.98</v>
      </c>
      <c r="CP74">
        <f t="shared" si="99"/>
        <v>0.76300000000000001</v>
      </c>
      <c r="CQ74" s="1">
        <v>0.93200000000000005</v>
      </c>
      <c r="CR74">
        <f t="shared" si="100"/>
        <v>0.7330000000000001</v>
      </c>
      <c r="CS74" s="1">
        <v>0.94099999999999995</v>
      </c>
      <c r="CT74">
        <f t="shared" si="101"/>
        <v>0.74099999999999988</v>
      </c>
      <c r="CU74" s="1">
        <v>0.96599999999999997</v>
      </c>
      <c r="CV74">
        <f t="shared" si="102"/>
        <v>0.746</v>
      </c>
      <c r="CW74" s="1">
        <v>0.92400000000000004</v>
      </c>
      <c r="CX74">
        <f t="shared" si="103"/>
        <v>0.71800000000000008</v>
      </c>
      <c r="CY74" s="1">
        <v>0.92300000000000004</v>
      </c>
      <c r="CZ74">
        <f t="shared" si="104"/>
        <v>0.71500000000000008</v>
      </c>
      <c r="DA74">
        <v>0.95099999999999996</v>
      </c>
      <c r="DB74">
        <f t="shared" si="105"/>
        <v>0.73499999999999999</v>
      </c>
      <c r="DC74">
        <v>0.91900000000000004</v>
      </c>
      <c r="DD74">
        <f t="shared" si="106"/>
        <v>0.71599999999999997</v>
      </c>
      <c r="DE74">
        <v>0.94199999999999995</v>
      </c>
      <c r="DF74">
        <f t="shared" si="107"/>
        <v>0.73699999999999999</v>
      </c>
    </row>
    <row r="75" spans="1:110">
      <c r="A75" t="s">
        <v>201</v>
      </c>
      <c r="B75" t="s">
        <v>202</v>
      </c>
      <c r="C75" s="1">
        <v>0.128</v>
      </c>
      <c r="D75" s="1">
        <f t="shared" si="54"/>
        <v>4.0000000000000036E-3</v>
      </c>
      <c r="E75" s="1">
        <v>0.14199999999999999</v>
      </c>
      <c r="F75">
        <f t="shared" si="55"/>
        <v>2.3999999999999994E-2</v>
      </c>
      <c r="G75" s="1">
        <v>0.17399999999999999</v>
      </c>
      <c r="H75">
        <f t="shared" si="56"/>
        <v>3.999999999999998E-2</v>
      </c>
      <c r="I75" s="1">
        <v>0.16900000000000001</v>
      </c>
      <c r="J75">
        <f t="shared" si="57"/>
        <v>-2.9999999999999749E-3</v>
      </c>
      <c r="K75" s="1">
        <v>0.185</v>
      </c>
      <c r="L75">
        <f t="shared" si="58"/>
        <v>9.000000000000008E-3</v>
      </c>
      <c r="M75" s="1">
        <v>0.184</v>
      </c>
      <c r="N75">
        <f t="shared" si="59"/>
        <v>1.6999999999999987E-2</v>
      </c>
      <c r="O75" s="1">
        <v>0.151</v>
      </c>
      <c r="P75">
        <f t="shared" si="60"/>
        <v>-1.6000000000000014E-2</v>
      </c>
      <c r="Q75" s="1">
        <v>0.16900000000000001</v>
      </c>
      <c r="R75">
        <f t="shared" si="61"/>
        <v>-2.0000000000000018E-3</v>
      </c>
      <c r="S75" s="1">
        <v>0.17199999999999999</v>
      </c>
      <c r="T75">
        <f t="shared" si="62"/>
        <v>-2.4000000000000021E-2</v>
      </c>
      <c r="U75" s="1">
        <v>0.159</v>
      </c>
      <c r="V75">
        <f t="shared" si="63"/>
        <v>-3.1E-2</v>
      </c>
      <c r="W75" s="1">
        <v>0.17599999999999999</v>
      </c>
      <c r="X75">
        <f t="shared" si="64"/>
        <v>-8.0000000000000071E-3</v>
      </c>
      <c r="Y75" s="1">
        <v>0.18099999999999999</v>
      </c>
      <c r="Z75">
        <f t="shared" si="65"/>
        <v>-4.6000000000000013E-2</v>
      </c>
      <c r="AA75" s="1">
        <v>0.16700000000000001</v>
      </c>
      <c r="AB75">
        <f t="shared" si="66"/>
        <v>-2.4999999999999994E-2</v>
      </c>
      <c r="AC75" s="1">
        <v>0.17899999999999999</v>
      </c>
      <c r="AD75">
        <f t="shared" si="67"/>
        <v>4.0000000000000036E-3</v>
      </c>
      <c r="AE75" s="1">
        <v>0.186</v>
      </c>
      <c r="AF75">
        <f t="shared" si="68"/>
        <v>-0.03</v>
      </c>
      <c r="AG75">
        <v>0.20899999999999999</v>
      </c>
      <c r="AH75">
        <f t="shared" si="69"/>
        <v>4.4999999999999984E-2</v>
      </c>
      <c r="AI75">
        <v>0.18099999999999999</v>
      </c>
      <c r="AJ75">
        <f t="shared" si="70"/>
        <v>5.0000000000000044E-3</v>
      </c>
      <c r="AK75">
        <v>0.186</v>
      </c>
      <c r="AL75">
        <f t="shared" si="71"/>
        <v>-1.7000000000000015E-2</v>
      </c>
      <c r="AM75" s="1">
        <v>0.16300000000000001</v>
      </c>
      <c r="AN75" s="2">
        <f t="shared" si="72"/>
        <v>5.2000000000000005E-2</v>
      </c>
      <c r="AO75" s="1">
        <v>0.112</v>
      </c>
      <c r="AP75" s="2">
        <f t="shared" si="73"/>
        <v>3.0000000000000027E-3</v>
      </c>
      <c r="AQ75" s="1">
        <v>0.20200000000000001</v>
      </c>
      <c r="AR75" s="2">
        <f t="shared" si="74"/>
        <v>9.0000000000000011E-2</v>
      </c>
      <c r="AS75" s="1">
        <v>0.248</v>
      </c>
      <c r="AT75" s="2">
        <f t="shared" si="75"/>
        <v>5.1999999999999991E-2</v>
      </c>
      <c r="AU75" s="1">
        <v>0.19800000000000001</v>
      </c>
      <c r="AV75" s="2">
        <f t="shared" si="76"/>
        <v>0</v>
      </c>
      <c r="AW75" s="1">
        <v>0.23200000000000001</v>
      </c>
      <c r="AX75" s="2">
        <f t="shared" si="77"/>
        <v>2.6000000000000023E-2</v>
      </c>
      <c r="AY75" s="1">
        <v>0.255</v>
      </c>
      <c r="AZ75">
        <f t="shared" si="78"/>
        <v>4.6000000000000013E-2</v>
      </c>
      <c r="BA75" s="1">
        <v>0.20599999999999999</v>
      </c>
      <c r="BB75">
        <f t="shared" si="79"/>
        <v>0</v>
      </c>
      <c r="BC75" s="1">
        <v>0.2</v>
      </c>
      <c r="BD75">
        <f t="shared" si="80"/>
        <v>-1.3999999999999985E-2</v>
      </c>
      <c r="BE75" s="1">
        <v>0.26200000000000001</v>
      </c>
      <c r="BF75">
        <f t="shared" si="81"/>
        <v>4.5000000000000012E-2</v>
      </c>
      <c r="BG75" s="1">
        <v>0.21099999999999999</v>
      </c>
      <c r="BH75">
        <f t="shared" si="82"/>
        <v>6.0000000000000053E-3</v>
      </c>
      <c r="BI75" s="1">
        <v>0.215</v>
      </c>
      <c r="BJ75">
        <f t="shared" si="83"/>
        <v>9.000000000000008E-3</v>
      </c>
      <c r="BK75" s="1">
        <v>0.26200000000000001</v>
      </c>
      <c r="BL75">
        <f t="shared" si="84"/>
        <v>4.300000000000001E-2</v>
      </c>
      <c r="BM75" s="1">
        <v>0.21</v>
      </c>
      <c r="BN75">
        <f t="shared" si="85"/>
        <v>-6.0000000000000053E-3</v>
      </c>
      <c r="BO75" s="1">
        <v>0.19700000000000001</v>
      </c>
      <c r="BP75">
        <f t="shared" si="86"/>
        <v>-2.3999999999999994E-2</v>
      </c>
      <c r="BQ75">
        <v>0.26800000000000002</v>
      </c>
      <c r="BR75">
        <f t="shared" si="87"/>
        <v>4.9000000000000016E-2</v>
      </c>
      <c r="BS75">
        <v>0.21299999999999999</v>
      </c>
      <c r="BT75">
        <f t="shared" si="88"/>
        <v>1.0999999999999982E-2</v>
      </c>
      <c r="BU75">
        <v>0.2</v>
      </c>
      <c r="BV75">
        <f t="shared" si="89"/>
        <v>-2.3999999999999994E-2</v>
      </c>
      <c r="BW75" s="1">
        <v>0.121</v>
      </c>
      <c r="BX75" s="2">
        <f t="shared" si="90"/>
        <v>-3.8000000000000006E-2</v>
      </c>
      <c r="BY75" s="1">
        <v>0.104</v>
      </c>
      <c r="BZ75" s="2">
        <f t="shared" si="91"/>
        <v>0</v>
      </c>
      <c r="CA75" s="1">
        <v>0.219</v>
      </c>
      <c r="CB75" s="2">
        <f t="shared" si="92"/>
        <v>-0.27</v>
      </c>
      <c r="CC75" s="1">
        <v>0.20599999999999999</v>
      </c>
      <c r="CD75" s="2">
        <f t="shared" si="93"/>
        <v>-9.000000000000008E-3</v>
      </c>
      <c r="CE75" s="1">
        <v>0.193</v>
      </c>
      <c r="CF75" s="2">
        <f t="shared" si="94"/>
        <v>1.100000000000001E-2</v>
      </c>
      <c r="CG75" s="1">
        <v>0.27400000000000002</v>
      </c>
      <c r="CH75" s="2">
        <f t="shared" si="95"/>
        <v>8.3000000000000018E-2</v>
      </c>
      <c r="CI75" s="1">
        <v>0.21199999999999999</v>
      </c>
      <c r="CJ75">
        <f t="shared" si="96"/>
        <v>2.0000000000000018E-3</v>
      </c>
      <c r="CK75" s="1">
        <v>0.19900000000000001</v>
      </c>
      <c r="CL75">
        <f t="shared" si="97"/>
        <v>4.0000000000000036E-3</v>
      </c>
      <c r="CM75" s="1">
        <v>0.218</v>
      </c>
      <c r="CN75">
        <f t="shared" si="98"/>
        <v>1.100000000000001E-2</v>
      </c>
      <c r="CO75" s="1">
        <v>0.216</v>
      </c>
      <c r="CP75">
        <f t="shared" si="99"/>
        <v>-1.0000000000000009E-3</v>
      </c>
      <c r="CQ75" s="1">
        <v>0.20599999999999999</v>
      </c>
      <c r="CR75">
        <f t="shared" si="100"/>
        <v>6.9999999999999785E-3</v>
      </c>
      <c r="CS75" s="1">
        <v>0.22600000000000001</v>
      </c>
      <c r="CT75">
        <f t="shared" si="101"/>
        <v>2.5999999999999995E-2</v>
      </c>
      <c r="CU75" s="1">
        <v>0.216</v>
      </c>
      <c r="CV75">
        <f t="shared" si="102"/>
        <v>-4.0000000000000036E-3</v>
      </c>
      <c r="CW75" s="1">
        <v>0.2</v>
      </c>
      <c r="CX75">
        <f t="shared" si="103"/>
        <v>-5.9999999999999776E-3</v>
      </c>
      <c r="CY75" s="1">
        <v>0.217</v>
      </c>
      <c r="CZ75">
        <f t="shared" si="104"/>
        <v>9.000000000000008E-3</v>
      </c>
      <c r="DA75">
        <v>0.21</v>
      </c>
      <c r="DB75">
        <f t="shared" si="105"/>
        <v>-6.0000000000000053E-3</v>
      </c>
      <c r="DC75">
        <v>0.19800000000000001</v>
      </c>
      <c r="DD75">
        <f t="shared" si="106"/>
        <v>-5.0000000000000044E-3</v>
      </c>
      <c r="DE75">
        <v>0.24099999999999999</v>
      </c>
      <c r="DF75">
        <f t="shared" si="107"/>
        <v>3.6000000000000004E-2</v>
      </c>
    </row>
    <row r="76" spans="1:110">
      <c r="A76" t="s">
        <v>203</v>
      </c>
      <c r="B76" t="s">
        <v>204</v>
      </c>
      <c r="C76" s="1">
        <v>0.106</v>
      </c>
      <c r="D76" s="1">
        <f t="shared" si="54"/>
        <v>-1.8000000000000002E-2</v>
      </c>
      <c r="E76" s="1">
        <v>0.105</v>
      </c>
      <c r="F76">
        <f t="shared" si="55"/>
        <v>-1.2999999999999998E-2</v>
      </c>
      <c r="G76" s="1">
        <v>0.127</v>
      </c>
      <c r="H76">
        <f t="shared" si="56"/>
        <v>-7.0000000000000062E-3</v>
      </c>
      <c r="I76" s="1">
        <v>0.18</v>
      </c>
      <c r="J76">
        <f t="shared" si="57"/>
        <v>8.0000000000000071E-3</v>
      </c>
      <c r="K76" s="1">
        <v>0.185</v>
      </c>
      <c r="L76">
        <f t="shared" si="58"/>
        <v>9.000000000000008E-3</v>
      </c>
      <c r="M76" s="1">
        <v>0.191</v>
      </c>
      <c r="N76">
        <f t="shared" si="59"/>
        <v>2.3999999999999994E-2</v>
      </c>
      <c r="O76" s="1">
        <v>0.155</v>
      </c>
      <c r="P76">
        <f t="shared" si="60"/>
        <v>-1.2000000000000011E-2</v>
      </c>
      <c r="Q76" s="1">
        <v>0.16300000000000001</v>
      </c>
      <c r="R76">
        <f t="shared" si="61"/>
        <v>-8.0000000000000071E-3</v>
      </c>
      <c r="S76" s="1">
        <v>0.16900000000000001</v>
      </c>
      <c r="T76">
        <f t="shared" si="62"/>
        <v>-2.6999999999999996E-2</v>
      </c>
      <c r="U76" s="1">
        <v>0.159</v>
      </c>
      <c r="V76">
        <f t="shared" si="63"/>
        <v>-3.1E-2</v>
      </c>
      <c r="W76" s="1">
        <v>0.17599999999999999</v>
      </c>
      <c r="X76">
        <f t="shared" si="64"/>
        <v>-8.0000000000000071E-3</v>
      </c>
      <c r="Y76" s="1">
        <v>0.18099999999999999</v>
      </c>
      <c r="Z76">
        <f t="shared" si="65"/>
        <v>-4.6000000000000013E-2</v>
      </c>
      <c r="AA76" s="1">
        <v>0.16400000000000001</v>
      </c>
      <c r="AB76">
        <f t="shared" si="66"/>
        <v>-2.7999999999999997E-2</v>
      </c>
      <c r="AC76" s="1">
        <v>0.17899999999999999</v>
      </c>
      <c r="AD76">
        <f t="shared" si="67"/>
        <v>4.0000000000000036E-3</v>
      </c>
      <c r="AE76" s="1">
        <v>0.17699999999999999</v>
      </c>
      <c r="AF76">
        <f t="shared" si="68"/>
        <v>-3.9000000000000007E-2</v>
      </c>
      <c r="AG76">
        <v>0.16700000000000001</v>
      </c>
      <c r="AH76">
        <f t="shared" si="69"/>
        <v>3.0000000000000027E-3</v>
      </c>
      <c r="AI76">
        <v>0.17599999999999999</v>
      </c>
      <c r="AJ76">
        <f t="shared" si="70"/>
        <v>0</v>
      </c>
      <c r="AK76">
        <v>0.17699999999999999</v>
      </c>
      <c r="AL76">
        <f t="shared" si="71"/>
        <v>-2.6000000000000023E-2</v>
      </c>
      <c r="AM76" s="1">
        <v>0.14000000000000001</v>
      </c>
      <c r="AN76" s="2">
        <f t="shared" si="72"/>
        <v>2.9000000000000012E-2</v>
      </c>
      <c r="AO76" s="1">
        <v>0.105</v>
      </c>
      <c r="AP76" s="2">
        <f t="shared" si="73"/>
        <v>-4.0000000000000036E-3</v>
      </c>
      <c r="AQ76" s="1">
        <v>0.17399999999999999</v>
      </c>
      <c r="AR76" s="2">
        <f t="shared" si="74"/>
        <v>6.1999999999999986E-2</v>
      </c>
      <c r="AS76" s="1">
        <v>0.25</v>
      </c>
      <c r="AT76" s="2">
        <f t="shared" si="75"/>
        <v>5.3999999999999992E-2</v>
      </c>
      <c r="AU76" s="1">
        <v>0.223</v>
      </c>
      <c r="AV76" s="2">
        <f t="shared" si="76"/>
        <v>2.4999999999999994E-2</v>
      </c>
      <c r="AW76" s="1">
        <v>0.25600000000000001</v>
      </c>
      <c r="AX76" s="2">
        <f t="shared" si="77"/>
        <v>5.0000000000000017E-2</v>
      </c>
      <c r="AY76" s="1">
        <v>0.253</v>
      </c>
      <c r="AZ76">
        <f t="shared" si="78"/>
        <v>4.4000000000000011E-2</v>
      </c>
      <c r="BA76" s="1">
        <v>0.219</v>
      </c>
      <c r="BB76">
        <f t="shared" si="79"/>
        <v>1.3000000000000012E-2</v>
      </c>
      <c r="BC76" s="1">
        <v>0.20899999999999999</v>
      </c>
      <c r="BD76">
        <f t="shared" si="80"/>
        <v>-5.0000000000000044E-3</v>
      </c>
      <c r="BE76" s="1">
        <v>0.252</v>
      </c>
      <c r="BF76">
        <f t="shared" si="81"/>
        <v>3.5000000000000003E-2</v>
      </c>
      <c r="BG76" s="1">
        <v>0.219</v>
      </c>
      <c r="BH76">
        <f t="shared" si="82"/>
        <v>1.4000000000000012E-2</v>
      </c>
      <c r="BI76" s="1">
        <v>0.222</v>
      </c>
      <c r="BJ76">
        <f t="shared" si="83"/>
        <v>1.6000000000000014E-2</v>
      </c>
      <c r="BK76" s="1">
        <v>0.248</v>
      </c>
      <c r="BL76">
        <f t="shared" si="84"/>
        <v>2.8999999999999998E-2</v>
      </c>
      <c r="BM76" s="1">
        <v>0.218</v>
      </c>
      <c r="BN76">
        <f t="shared" si="85"/>
        <v>2.0000000000000018E-3</v>
      </c>
      <c r="BO76" s="1">
        <v>0.20300000000000001</v>
      </c>
      <c r="BP76">
        <f t="shared" si="86"/>
        <v>-1.7999999999999988E-2</v>
      </c>
      <c r="BQ76">
        <v>0.248</v>
      </c>
      <c r="BR76">
        <f t="shared" si="87"/>
        <v>2.8999999999999998E-2</v>
      </c>
      <c r="BS76">
        <v>0.217</v>
      </c>
      <c r="BT76">
        <f t="shared" si="88"/>
        <v>1.4999999999999986E-2</v>
      </c>
      <c r="BU76">
        <v>0.20699999999999999</v>
      </c>
      <c r="BV76">
        <f t="shared" si="89"/>
        <v>-1.7000000000000015E-2</v>
      </c>
      <c r="BW76" s="1">
        <v>0.10299999999999999</v>
      </c>
      <c r="BX76" s="2">
        <f t="shared" si="90"/>
        <v>-5.6000000000000008E-2</v>
      </c>
      <c r="BY76" s="1">
        <v>9.8000000000000004E-2</v>
      </c>
      <c r="BZ76" s="2">
        <f t="shared" si="91"/>
        <v>-5.9999999999999915E-3</v>
      </c>
      <c r="CA76" s="1">
        <v>0.19800000000000001</v>
      </c>
      <c r="CB76" s="2">
        <f t="shared" si="92"/>
        <v>-0.29099999999999998</v>
      </c>
      <c r="CC76" s="1">
        <v>0.20599999999999999</v>
      </c>
      <c r="CD76" s="2">
        <f t="shared" si="93"/>
        <v>-9.000000000000008E-3</v>
      </c>
      <c r="CE76" s="1">
        <v>0.19700000000000001</v>
      </c>
      <c r="CF76" s="2">
        <f t="shared" si="94"/>
        <v>1.5000000000000013E-2</v>
      </c>
      <c r="CG76" s="1">
        <v>0.27500000000000002</v>
      </c>
      <c r="CH76" s="2">
        <f t="shared" si="95"/>
        <v>8.4000000000000019E-2</v>
      </c>
      <c r="CI76" s="1">
        <v>0.20200000000000001</v>
      </c>
      <c r="CJ76">
        <f t="shared" si="96"/>
        <v>-7.9999999999999793E-3</v>
      </c>
      <c r="CK76" s="1">
        <v>0.19700000000000001</v>
      </c>
      <c r="CL76">
        <f t="shared" si="97"/>
        <v>2.0000000000000018E-3</v>
      </c>
      <c r="CM76" s="1">
        <v>0.21099999999999999</v>
      </c>
      <c r="CN76">
        <f t="shared" si="98"/>
        <v>4.0000000000000036E-3</v>
      </c>
      <c r="CO76" s="1">
        <v>0.20399999999999999</v>
      </c>
      <c r="CP76">
        <f t="shared" si="99"/>
        <v>-1.3000000000000012E-2</v>
      </c>
      <c r="CQ76" s="1">
        <v>0.19800000000000001</v>
      </c>
      <c r="CR76">
        <f t="shared" si="100"/>
        <v>-1.0000000000000009E-3</v>
      </c>
      <c r="CS76" s="1">
        <v>0.21299999999999999</v>
      </c>
      <c r="CT76">
        <f t="shared" si="101"/>
        <v>1.2999999999999984E-2</v>
      </c>
      <c r="CU76" s="1">
        <v>0.20200000000000001</v>
      </c>
      <c r="CV76">
        <f t="shared" si="102"/>
        <v>-1.7999999999999988E-2</v>
      </c>
      <c r="CW76" s="1">
        <v>0.19600000000000001</v>
      </c>
      <c r="CX76">
        <f t="shared" si="103"/>
        <v>-9.9999999999999811E-3</v>
      </c>
      <c r="CY76" s="1">
        <v>0.20899999999999999</v>
      </c>
      <c r="CZ76">
        <f t="shared" si="104"/>
        <v>1.0000000000000009E-3</v>
      </c>
      <c r="DA76">
        <v>0.19700000000000001</v>
      </c>
      <c r="DB76">
        <f t="shared" si="105"/>
        <v>-1.8999999999999989E-2</v>
      </c>
      <c r="DC76">
        <v>0.192</v>
      </c>
      <c r="DD76">
        <f t="shared" si="106"/>
        <v>-1.100000000000001E-2</v>
      </c>
      <c r="DE76">
        <v>0.23599999999999999</v>
      </c>
      <c r="DF76">
        <f t="shared" si="107"/>
        <v>3.1E-2</v>
      </c>
    </row>
    <row r="77" spans="1:110">
      <c r="A77" t="s">
        <v>205</v>
      </c>
      <c r="B77" t="s">
        <v>206</v>
      </c>
      <c r="C77" s="1">
        <v>9.7000000000000003E-2</v>
      </c>
      <c r="D77" s="1">
        <f t="shared" si="54"/>
        <v>-2.6999999999999996E-2</v>
      </c>
      <c r="E77" s="1">
        <v>0.107</v>
      </c>
      <c r="F77">
        <f t="shared" si="55"/>
        <v>-1.0999999999999996E-2</v>
      </c>
      <c r="G77" s="1">
        <v>0.122</v>
      </c>
      <c r="H77">
        <f t="shared" si="56"/>
        <v>-1.2000000000000011E-2</v>
      </c>
      <c r="I77" s="1">
        <v>0.23899999999999999</v>
      </c>
      <c r="J77">
        <f t="shared" si="57"/>
        <v>6.7000000000000004E-2</v>
      </c>
      <c r="K77" s="1">
        <v>0.433</v>
      </c>
      <c r="L77">
        <f t="shared" si="58"/>
        <v>0.25700000000000001</v>
      </c>
      <c r="M77" s="1">
        <v>0.30599999999999999</v>
      </c>
      <c r="N77">
        <f t="shared" si="59"/>
        <v>0.13899999999999998</v>
      </c>
      <c r="O77" s="1">
        <v>0.98699999999999999</v>
      </c>
      <c r="P77">
        <f t="shared" si="60"/>
        <v>0.82</v>
      </c>
      <c r="Q77" s="1">
        <v>0.88900000000000001</v>
      </c>
      <c r="R77">
        <f t="shared" si="61"/>
        <v>0.71799999999999997</v>
      </c>
      <c r="S77" s="1">
        <v>1.1759999999999999</v>
      </c>
      <c r="T77">
        <f t="shared" si="62"/>
        <v>0.98</v>
      </c>
      <c r="U77" s="1">
        <v>1.0569999999999999</v>
      </c>
      <c r="V77">
        <f t="shared" si="63"/>
        <v>0.86699999999999999</v>
      </c>
      <c r="W77" s="1">
        <v>0.93899999999999995</v>
      </c>
      <c r="X77">
        <f t="shared" si="64"/>
        <v>0.75499999999999989</v>
      </c>
      <c r="Y77" s="1">
        <v>0.998</v>
      </c>
      <c r="Z77">
        <f t="shared" si="65"/>
        <v>0.77100000000000002</v>
      </c>
      <c r="AA77" s="1">
        <v>1.0389999999999999</v>
      </c>
      <c r="AB77">
        <f t="shared" si="66"/>
        <v>0.84699999999999998</v>
      </c>
      <c r="AC77" s="1">
        <v>0.93899999999999995</v>
      </c>
      <c r="AD77">
        <f t="shared" si="67"/>
        <v>0.76400000000000001</v>
      </c>
      <c r="AE77" s="1">
        <v>0.98899999999999999</v>
      </c>
      <c r="AF77">
        <f t="shared" si="68"/>
        <v>0.77300000000000002</v>
      </c>
      <c r="AG77">
        <v>0.879</v>
      </c>
      <c r="AH77">
        <f t="shared" si="69"/>
        <v>0.71499999999999997</v>
      </c>
      <c r="AI77">
        <v>0.95599999999999996</v>
      </c>
      <c r="AJ77">
        <f t="shared" si="70"/>
        <v>0.78</v>
      </c>
      <c r="AK77">
        <v>0.99399999999999999</v>
      </c>
      <c r="AL77">
        <f t="shared" si="71"/>
        <v>0.79099999999999993</v>
      </c>
      <c r="AM77" s="1">
        <v>0.112</v>
      </c>
      <c r="AN77" s="2">
        <f t="shared" si="72"/>
        <v>1.0000000000000009E-3</v>
      </c>
      <c r="AO77" s="1">
        <v>0.10100000000000001</v>
      </c>
      <c r="AP77" s="2">
        <f t="shared" si="73"/>
        <v>-7.9999999999999932E-3</v>
      </c>
      <c r="AQ77" s="1">
        <v>0.16500000000000001</v>
      </c>
      <c r="AR77" s="2">
        <f t="shared" si="74"/>
        <v>5.3000000000000005E-2</v>
      </c>
      <c r="AS77" s="1">
        <v>0.372</v>
      </c>
      <c r="AT77" s="2">
        <f t="shared" si="75"/>
        <v>0.17599999999999999</v>
      </c>
      <c r="AU77" s="1">
        <v>0.41399999999999998</v>
      </c>
      <c r="AV77" s="2">
        <f t="shared" si="76"/>
        <v>0.21599999999999997</v>
      </c>
      <c r="AW77" s="1">
        <v>0.499</v>
      </c>
      <c r="AX77" s="2">
        <f t="shared" si="77"/>
        <v>0.29300000000000004</v>
      </c>
      <c r="AY77" s="1">
        <v>1.1839999999999999</v>
      </c>
      <c r="AZ77">
        <f t="shared" si="78"/>
        <v>0.97499999999999998</v>
      </c>
      <c r="BA77" s="1">
        <v>1.181</v>
      </c>
      <c r="BB77">
        <f t="shared" si="79"/>
        <v>0.97500000000000009</v>
      </c>
      <c r="BC77" s="1">
        <v>1.133</v>
      </c>
      <c r="BD77">
        <f t="shared" si="80"/>
        <v>0.91900000000000004</v>
      </c>
      <c r="BE77" s="1">
        <v>1.1339999999999999</v>
      </c>
      <c r="BF77">
        <f t="shared" si="81"/>
        <v>0.91699999999999993</v>
      </c>
      <c r="BG77" s="1">
        <v>1.0880000000000001</v>
      </c>
      <c r="BH77">
        <f t="shared" si="82"/>
        <v>0.88300000000000012</v>
      </c>
      <c r="BI77" s="1">
        <v>1.0620000000000001</v>
      </c>
      <c r="BJ77">
        <f t="shared" si="83"/>
        <v>0.85600000000000009</v>
      </c>
      <c r="BK77" s="1">
        <v>1.0900000000000001</v>
      </c>
      <c r="BL77">
        <f t="shared" si="84"/>
        <v>0.87100000000000011</v>
      </c>
      <c r="BM77" s="1">
        <v>1.056</v>
      </c>
      <c r="BN77">
        <f t="shared" si="85"/>
        <v>0.84000000000000008</v>
      </c>
      <c r="BO77" s="1">
        <v>1.0149999999999999</v>
      </c>
      <c r="BP77">
        <f t="shared" si="86"/>
        <v>0.79399999999999993</v>
      </c>
      <c r="BQ77">
        <v>1.0609999999999999</v>
      </c>
      <c r="BR77">
        <f t="shared" si="87"/>
        <v>0.84199999999999997</v>
      </c>
      <c r="BS77">
        <v>1.0229999999999999</v>
      </c>
      <c r="BT77">
        <f t="shared" si="88"/>
        <v>0.82099999999999995</v>
      </c>
      <c r="BU77">
        <v>0.98799999999999999</v>
      </c>
      <c r="BV77">
        <f t="shared" si="89"/>
        <v>0.76400000000000001</v>
      </c>
      <c r="BW77" s="1">
        <v>0.10100000000000001</v>
      </c>
      <c r="BX77" s="2">
        <f t="shared" si="90"/>
        <v>-5.7999999999999996E-2</v>
      </c>
      <c r="BY77" s="1">
        <v>9.6000000000000002E-2</v>
      </c>
      <c r="BZ77" s="2">
        <f t="shared" si="91"/>
        <v>-7.9999999999999932E-3</v>
      </c>
      <c r="CA77" s="1">
        <v>0.188</v>
      </c>
      <c r="CB77" s="2">
        <f t="shared" si="92"/>
        <v>-0.30099999999999999</v>
      </c>
      <c r="CC77" s="1">
        <v>0.45600000000000002</v>
      </c>
      <c r="CD77" s="2">
        <f t="shared" si="93"/>
        <v>0.24100000000000002</v>
      </c>
      <c r="CE77" s="1">
        <v>0.34399999999999997</v>
      </c>
      <c r="CF77" s="2">
        <f t="shared" si="94"/>
        <v>0.16199999999999998</v>
      </c>
      <c r="CG77" s="1">
        <v>0.30399999999999999</v>
      </c>
      <c r="CH77" s="2">
        <f t="shared" si="95"/>
        <v>0.11299999999999999</v>
      </c>
      <c r="CI77" s="1">
        <v>1.226</v>
      </c>
      <c r="CJ77">
        <f t="shared" si="96"/>
        <v>1.016</v>
      </c>
      <c r="CK77" s="1">
        <v>1.2170000000000001</v>
      </c>
      <c r="CL77">
        <f t="shared" si="97"/>
        <v>1.022</v>
      </c>
      <c r="CM77" s="1">
        <v>1.1060000000000001</v>
      </c>
      <c r="CN77">
        <f t="shared" si="98"/>
        <v>0.89900000000000013</v>
      </c>
      <c r="CO77" s="1">
        <v>1.127</v>
      </c>
      <c r="CP77">
        <f t="shared" si="99"/>
        <v>0.91</v>
      </c>
      <c r="CQ77" s="1">
        <v>1.125</v>
      </c>
      <c r="CR77">
        <f t="shared" si="100"/>
        <v>0.92599999999999993</v>
      </c>
      <c r="CS77" s="1">
        <v>1.2170000000000001</v>
      </c>
      <c r="CT77">
        <f t="shared" si="101"/>
        <v>1.0170000000000001</v>
      </c>
      <c r="CU77" s="1">
        <v>1.0760000000000001</v>
      </c>
      <c r="CV77">
        <f t="shared" si="102"/>
        <v>0.85600000000000009</v>
      </c>
      <c r="CW77" s="1">
        <v>1.0660000000000001</v>
      </c>
      <c r="CX77">
        <f t="shared" si="103"/>
        <v>0.8600000000000001</v>
      </c>
      <c r="CY77" s="1">
        <v>1.133</v>
      </c>
      <c r="CZ77">
        <f t="shared" si="104"/>
        <v>0.92500000000000004</v>
      </c>
      <c r="DA77">
        <v>1.0309999999999999</v>
      </c>
      <c r="DB77">
        <f t="shared" si="105"/>
        <v>0.81499999999999995</v>
      </c>
      <c r="DC77">
        <v>1.0229999999999999</v>
      </c>
      <c r="DD77">
        <f t="shared" si="106"/>
        <v>0.81999999999999984</v>
      </c>
      <c r="DE77">
        <v>1.1200000000000001</v>
      </c>
      <c r="DF77">
        <f t="shared" si="107"/>
        <v>0.91500000000000015</v>
      </c>
    </row>
    <row r="78" spans="1:110">
      <c r="A78" t="s">
        <v>207</v>
      </c>
      <c r="B78" t="s">
        <v>208</v>
      </c>
      <c r="C78" s="1">
        <v>0.1</v>
      </c>
      <c r="D78" s="1">
        <f t="shared" si="54"/>
        <v>-2.3999999999999994E-2</v>
      </c>
      <c r="E78" s="1">
        <v>0.114</v>
      </c>
      <c r="F78">
        <f t="shared" si="55"/>
        <v>-3.9999999999999897E-3</v>
      </c>
      <c r="G78" s="1">
        <v>0.10299999999999999</v>
      </c>
      <c r="H78">
        <f t="shared" si="56"/>
        <v>-3.1000000000000014E-2</v>
      </c>
      <c r="I78" s="1">
        <v>0.17799999999999999</v>
      </c>
      <c r="J78">
        <f t="shared" si="57"/>
        <v>6.0000000000000053E-3</v>
      </c>
      <c r="K78" s="1">
        <v>0.17899999999999999</v>
      </c>
      <c r="L78">
        <f t="shared" si="58"/>
        <v>3.0000000000000027E-3</v>
      </c>
      <c r="M78" s="1">
        <v>0.16800000000000001</v>
      </c>
      <c r="N78">
        <f t="shared" si="59"/>
        <v>1.0000000000000009E-3</v>
      </c>
      <c r="O78" s="1">
        <v>0.16400000000000001</v>
      </c>
      <c r="P78">
        <f t="shared" si="60"/>
        <v>-3.0000000000000027E-3</v>
      </c>
      <c r="Q78" s="1">
        <v>0.186</v>
      </c>
      <c r="R78">
        <f t="shared" si="61"/>
        <v>1.4999999999999986E-2</v>
      </c>
      <c r="S78" s="1">
        <v>0.159</v>
      </c>
      <c r="T78">
        <f t="shared" si="62"/>
        <v>-3.7000000000000005E-2</v>
      </c>
      <c r="U78" s="1">
        <v>0.17699999999999999</v>
      </c>
      <c r="V78">
        <f t="shared" si="63"/>
        <v>-1.3000000000000012E-2</v>
      </c>
      <c r="W78" s="1">
        <v>0.17799999999999999</v>
      </c>
      <c r="X78">
        <f t="shared" si="64"/>
        <v>-6.0000000000000053E-3</v>
      </c>
      <c r="Y78" s="1">
        <v>0.156</v>
      </c>
      <c r="Z78">
        <f t="shared" si="65"/>
        <v>-7.1000000000000008E-2</v>
      </c>
      <c r="AA78" s="1">
        <v>0.18</v>
      </c>
      <c r="AB78">
        <f t="shared" si="66"/>
        <v>-1.2000000000000011E-2</v>
      </c>
      <c r="AC78" s="1">
        <v>0.17799999999999999</v>
      </c>
      <c r="AD78">
        <f t="shared" si="67"/>
        <v>3.0000000000000027E-3</v>
      </c>
      <c r="AE78" s="1">
        <v>0.157</v>
      </c>
      <c r="AF78">
        <f t="shared" si="68"/>
        <v>-5.8999999999999997E-2</v>
      </c>
      <c r="AG78">
        <v>0.17499999999999999</v>
      </c>
      <c r="AH78">
        <f t="shared" si="69"/>
        <v>1.0999999999999982E-2</v>
      </c>
      <c r="AI78">
        <v>0.17899999999999999</v>
      </c>
      <c r="AJ78">
        <f t="shared" si="70"/>
        <v>3.0000000000000027E-3</v>
      </c>
      <c r="AK78">
        <v>0.158</v>
      </c>
      <c r="AL78">
        <f t="shared" si="71"/>
        <v>-4.5000000000000012E-2</v>
      </c>
      <c r="AM78" s="1">
        <v>0.11</v>
      </c>
      <c r="AN78" s="2">
        <f t="shared" si="72"/>
        <v>-1.0000000000000009E-3</v>
      </c>
      <c r="AO78" s="1">
        <v>0.109</v>
      </c>
      <c r="AP78" s="2">
        <f t="shared" si="73"/>
        <v>0</v>
      </c>
      <c r="AQ78" s="1">
        <v>0.159</v>
      </c>
      <c r="AR78" s="2">
        <f t="shared" si="74"/>
        <v>4.7E-2</v>
      </c>
      <c r="AS78" s="1">
        <v>0.2</v>
      </c>
      <c r="AT78" s="2">
        <f t="shared" si="75"/>
        <v>4.0000000000000036E-3</v>
      </c>
      <c r="AU78" s="1">
        <v>0.19500000000000001</v>
      </c>
      <c r="AV78" s="2">
        <f t="shared" si="76"/>
        <v>-3.0000000000000027E-3</v>
      </c>
      <c r="AW78" s="1">
        <v>0.23300000000000001</v>
      </c>
      <c r="AX78" s="2">
        <f t="shared" si="77"/>
        <v>2.7000000000000024E-2</v>
      </c>
      <c r="AY78" s="1">
        <v>0.21</v>
      </c>
      <c r="AZ78">
        <f t="shared" si="78"/>
        <v>1.0000000000000009E-3</v>
      </c>
      <c r="BA78" s="1">
        <v>0.20100000000000001</v>
      </c>
      <c r="BB78">
        <f t="shared" si="79"/>
        <v>-4.9999999999999767E-3</v>
      </c>
      <c r="BC78" s="1">
        <v>0.193</v>
      </c>
      <c r="BD78">
        <f t="shared" si="80"/>
        <v>-2.0999999999999991E-2</v>
      </c>
      <c r="BE78" s="1">
        <v>0.216</v>
      </c>
      <c r="BF78">
        <f t="shared" si="81"/>
        <v>-1.0000000000000009E-3</v>
      </c>
      <c r="BG78" s="1">
        <v>0.20699999999999999</v>
      </c>
      <c r="BH78">
        <f t="shared" si="82"/>
        <v>2.0000000000000018E-3</v>
      </c>
      <c r="BI78" s="1">
        <v>0.21299999999999999</v>
      </c>
      <c r="BJ78">
        <f t="shared" si="83"/>
        <v>7.0000000000000062E-3</v>
      </c>
      <c r="BK78" s="1">
        <v>0.216</v>
      </c>
      <c r="BL78">
        <f t="shared" si="84"/>
        <v>-3.0000000000000027E-3</v>
      </c>
      <c r="BM78" s="1">
        <v>0.20399999999999999</v>
      </c>
      <c r="BN78">
        <f t="shared" si="85"/>
        <v>-1.2000000000000011E-2</v>
      </c>
      <c r="BO78" s="1">
        <v>0.192</v>
      </c>
      <c r="BP78">
        <f t="shared" si="86"/>
        <v>-2.8999999999999998E-2</v>
      </c>
      <c r="BQ78">
        <v>0.21299999999999999</v>
      </c>
      <c r="BR78">
        <f t="shared" si="87"/>
        <v>-6.0000000000000053E-3</v>
      </c>
      <c r="BS78">
        <v>0.20200000000000001</v>
      </c>
      <c r="BT78">
        <f t="shared" si="88"/>
        <v>0</v>
      </c>
      <c r="BU78">
        <v>0.19600000000000001</v>
      </c>
      <c r="BV78">
        <f t="shared" si="89"/>
        <v>-2.7999999999999997E-2</v>
      </c>
      <c r="BW78" s="1">
        <v>0.11</v>
      </c>
      <c r="BX78" s="2">
        <f t="shared" si="90"/>
        <v>-4.9000000000000002E-2</v>
      </c>
      <c r="BY78" s="1">
        <v>9.7000000000000003E-2</v>
      </c>
      <c r="BZ78" s="2">
        <f t="shared" si="91"/>
        <v>-6.9999999999999923E-3</v>
      </c>
      <c r="CA78" s="1">
        <v>0.16500000000000001</v>
      </c>
      <c r="CB78" s="2">
        <f t="shared" si="92"/>
        <v>-0.32399999999999995</v>
      </c>
      <c r="CC78" s="1">
        <v>0.20200000000000001</v>
      </c>
      <c r="CD78" s="2">
        <f t="shared" si="93"/>
        <v>-1.2999999999999984E-2</v>
      </c>
      <c r="CE78" s="1">
        <v>0.192</v>
      </c>
      <c r="CF78" s="2">
        <f t="shared" si="94"/>
        <v>1.0000000000000009E-2</v>
      </c>
      <c r="CG78" s="1">
        <v>0.28499999999999998</v>
      </c>
      <c r="CH78" s="2">
        <f t="shared" si="95"/>
        <v>9.3999999999999972E-2</v>
      </c>
      <c r="CI78" s="1">
        <v>0.20699999999999999</v>
      </c>
      <c r="CJ78">
        <f t="shared" si="96"/>
        <v>-3.0000000000000027E-3</v>
      </c>
      <c r="CK78" s="1">
        <v>0.2</v>
      </c>
      <c r="CL78">
        <f t="shared" si="97"/>
        <v>5.0000000000000044E-3</v>
      </c>
      <c r="CM78" s="1">
        <v>0.21099999999999999</v>
      </c>
      <c r="CN78">
        <f t="shared" si="98"/>
        <v>4.0000000000000036E-3</v>
      </c>
      <c r="CO78" s="1">
        <v>0.20699999999999999</v>
      </c>
      <c r="CP78">
        <f t="shared" si="99"/>
        <v>-1.0000000000000009E-2</v>
      </c>
      <c r="CQ78" s="1">
        <v>0.19900000000000001</v>
      </c>
      <c r="CR78">
        <f t="shared" si="100"/>
        <v>0</v>
      </c>
      <c r="CS78" s="1">
        <v>0.20899999999999999</v>
      </c>
      <c r="CT78">
        <f t="shared" si="101"/>
        <v>8.9999999999999802E-3</v>
      </c>
      <c r="CU78" s="1">
        <v>0.20699999999999999</v>
      </c>
      <c r="CV78">
        <f t="shared" si="102"/>
        <v>-1.3000000000000012E-2</v>
      </c>
      <c r="CW78" s="1">
        <v>0.20200000000000001</v>
      </c>
      <c r="CX78">
        <f t="shared" si="103"/>
        <v>-3.9999999999999758E-3</v>
      </c>
      <c r="CY78" s="1">
        <v>0.21099999999999999</v>
      </c>
      <c r="CZ78">
        <f t="shared" si="104"/>
        <v>3.0000000000000027E-3</v>
      </c>
      <c r="DA78">
        <v>0.20200000000000001</v>
      </c>
      <c r="DB78">
        <f t="shared" si="105"/>
        <v>-1.3999999999999985E-2</v>
      </c>
      <c r="DC78">
        <v>0.2</v>
      </c>
      <c r="DD78">
        <f t="shared" si="106"/>
        <v>-3.0000000000000027E-3</v>
      </c>
      <c r="DE78">
        <v>0.23300000000000001</v>
      </c>
      <c r="DF78">
        <f t="shared" si="107"/>
        <v>2.8000000000000025E-2</v>
      </c>
    </row>
    <row r="79" spans="1:110">
      <c r="A79" t="s">
        <v>209</v>
      </c>
      <c r="B79" t="s">
        <v>210</v>
      </c>
      <c r="C79" s="1">
        <v>9.9000000000000005E-2</v>
      </c>
      <c r="D79" s="1">
        <f t="shared" si="54"/>
        <v>-2.4999999999999994E-2</v>
      </c>
      <c r="E79" s="1">
        <v>0.10100000000000001</v>
      </c>
      <c r="F79">
        <f t="shared" si="55"/>
        <v>-1.6999999999999987E-2</v>
      </c>
      <c r="G79" s="1">
        <v>0.124</v>
      </c>
      <c r="H79">
        <f t="shared" si="56"/>
        <v>-1.0000000000000009E-2</v>
      </c>
      <c r="I79" s="1">
        <v>0.16900000000000001</v>
      </c>
      <c r="J79">
        <f t="shared" si="57"/>
        <v>-2.9999999999999749E-3</v>
      </c>
      <c r="K79" s="1">
        <v>0.17199999999999999</v>
      </c>
      <c r="L79">
        <f t="shared" si="58"/>
        <v>-4.0000000000000036E-3</v>
      </c>
      <c r="M79" s="1">
        <v>0.19400000000000001</v>
      </c>
      <c r="N79">
        <f t="shared" si="59"/>
        <v>2.6999999999999996E-2</v>
      </c>
      <c r="O79" s="1">
        <v>0.16300000000000001</v>
      </c>
      <c r="P79">
        <f t="shared" si="60"/>
        <v>-4.0000000000000036E-3</v>
      </c>
      <c r="Q79" s="1">
        <v>0.16800000000000001</v>
      </c>
      <c r="R79">
        <f t="shared" si="61"/>
        <v>-3.0000000000000027E-3</v>
      </c>
      <c r="S79" s="1">
        <v>0.184</v>
      </c>
      <c r="T79">
        <f t="shared" si="62"/>
        <v>-1.2000000000000011E-2</v>
      </c>
      <c r="U79" s="1">
        <v>0.155</v>
      </c>
      <c r="V79">
        <f t="shared" si="63"/>
        <v>-3.5000000000000003E-2</v>
      </c>
      <c r="W79" s="1">
        <v>0.152</v>
      </c>
      <c r="X79">
        <f t="shared" si="64"/>
        <v>-3.2000000000000001E-2</v>
      </c>
      <c r="Y79" s="1">
        <v>0.17899999999999999</v>
      </c>
      <c r="Z79">
        <f t="shared" si="65"/>
        <v>-4.8000000000000015E-2</v>
      </c>
      <c r="AA79" s="1">
        <v>0.152</v>
      </c>
      <c r="AB79">
        <f t="shared" si="66"/>
        <v>-4.0000000000000008E-2</v>
      </c>
      <c r="AC79" s="1">
        <v>0.151</v>
      </c>
      <c r="AD79">
        <f t="shared" si="67"/>
        <v>-2.3999999999999994E-2</v>
      </c>
      <c r="AE79" s="1">
        <v>0.17899999999999999</v>
      </c>
      <c r="AF79">
        <f t="shared" si="68"/>
        <v>-3.7000000000000005E-2</v>
      </c>
      <c r="AG79">
        <v>0.152</v>
      </c>
      <c r="AH79">
        <f t="shared" si="69"/>
        <v>-1.2000000000000011E-2</v>
      </c>
      <c r="AI79">
        <v>0.15</v>
      </c>
      <c r="AJ79">
        <f t="shared" si="70"/>
        <v>-2.5999999999999995E-2</v>
      </c>
      <c r="AK79">
        <v>0.17799999999999999</v>
      </c>
      <c r="AL79">
        <f t="shared" si="71"/>
        <v>-2.5000000000000022E-2</v>
      </c>
      <c r="AM79" s="1">
        <v>0.111</v>
      </c>
      <c r="AN79" s="2">
        <f t="shared" si="72"/>
        <v>0</v>
      </c>
      <c r="AO79" s="1">
        <v>0.104</v>
      </c>
      <c r="AP79" s="2">
        <f t="shared" si="73"/>
        <v>-5.0000000000000044E-3</v>
      </c>
      <c r="AQ79" s="1">
        <v>0.14699999999999999</v>
      </c>
      <c r="AR79" s="2">
        <f t="shared" si="74"/>
        <v>3.4999999999999989E-2</v>
      </c>
      <c r="AS79" s="1">
        <v>0.182</v>
      </c>
      <c r="AT79" s="2">
        <f t="shared" si="75"/>
        <v>-1.4000000000000012E-2</v>
      </c>
      <c r="AU79" s="1">
        <v>0.17799999999999999</v>
      </c>
      <c r="AV79" s="2">
        <f t="shared" si="76"/>
        <v>-2.0000000000000018E-2</v>
      </c>
      <c r="AW79" s="1">
        <v>0.215</v>
      </c>
      <c r="AX79" s="2">
        <f t="shared" si="77"/>
        <v>9.000000000000008E-3</v>
      </c>
      <c r="AY79" s="1">
        <v>0.187</v>
      </c>
      <c r="AZ79">
        <f t="shared" si="78"/>
        <v>-2.1999999999999992E-2</v>
      </c>
      <c r="BA79" s="1">
        <v>0.17799999999999999</v>
      </c>
      <c r="BB79">
        <f t="shared" si="79"/>
        <v>-2.7999999999999997E-2</v>
      </c>
      <c r="BC79" s="1">
        <v>0.17799999999999999</v>
      </c>
      <c r="BD79">
        <f t="shared" si="80"/>
        <v>-3.6000000000000004E-2</v>
      </c>
      <c r="BE79" s="1">
        <v>0.182</v>
      </c>
      <c r="BF79">
        <f t="shared" si="81"/>
        <v>-3.5000000000000003E-2</v>
      </c>
      <c r="BG79" s="1">
        <v>0.17399999999999999</v>
      </c>
      <c r="BH79">
        <f t="shared" si="82"/>
        <v>-3.1E-2</v>
      </c>
      <c r="BI79" s="1">
        <v>0.186</v>
      </c>
      <c r="BJ79">
        <f t="shared" si="83"/>
        <v>-1.999999999999999E-2</v>
      </c>
      <c r="BK79" s="1">
        <v>0.17799999999999999</v>
      </c>
      <c r="BL79">
        <f t="shared" si="84"/>
        <v>-4.1000000000000009E-2</v>
      </c>
      <c r="BM79" s="1">
        <v>0.17499999999999999</v>
      </c>
      <c r="BN79">
        <f t="shared" si="85"/>
        <v>-4.1000000000000009E-2</v>
      </c>
      <c r="BO79" s="1">
        <v>0.17499999999999999</v>
      </c>
      <c r="BP79">
        <f t="shared" si="86"/>
        <v>-4.6000000000000013E-2</v>
      </c>
      <c r="BQ79">
        <v>0.19400000000000001</v>
      </c>
      <c r="BR79">
        <f t="shared" si="87"/>
        <v>-2.4999999999999994E-2</v>
      </c>
      <c r="BS79">
        <v>0.18099999999999999</v>
      </c>
      <c r="BT79">
        <f t="shared" si="88"/>
        <v>-2.1000000000000019E-2</v>
      </c>
      <c r="BU79">
        <v>0.17899999999999999</v>
      </c>
      <c r="BV79">
        <f t="shared" si="89"/>
        <v>-4.5000000000000012E-2</v>
      </c>
      <c r="BW79" s="1">
        <v>0.115</v>
      </c>
      <c r="BX79" s="2">
        <f t="shared" si="90"/>
        <v>-4.3999999999999997E-2</v>
      </c>
      <c r="BY79" s="1">
        <v>9.5000000000000001E-2</v>
      </c>
      <c r="BZ79" s="2">
        <f t="shared" si="91"/>
        <v>-8.9999999999999941E-3</v>
      </c>
      <c r="CA79" s="1">
        <v>0.14899999999999999</v>
      </c>
      <c r="CB79" s="2">
        <f t="shared" si="92"/>
        <v>-0.33999999999999997</v>
      </c>
      <c r="CC79" s="1">
        <v>0.182</v>
      </c>
      <c r="CD79" s="2">
        <f t="shared" si="93"/>
        <v>-3.3000000000000002E-2</v>
      </c>
      <c r="CE79" s="1">
        <v>0.16900000000000001</v>
      </c>
      <c r="CF79" s="2">
        <f t="shared" si="94"/>
        <v>-1.2999999999999984E-2</v>
      </c>
      <c r="CG79" s="1">
        <v>0.24399999999999999</v>
      </c>
      <c r="CH79" s="2">
        <f t="shared" si="95"/>
        <v>5.2999999999999992E-2</v>
      </c>
      <c r="CI79" s="1">
        <v>0.186</v>
      </c>
      <c r="CJ79">
        <f t="shared" si="96"/>
        <v>-2.3999999999999994E-2</v>
      </c>
      <c r="CK79" s="1">
        <v>0.16900000000000001</v>
      </c>
      <c r="CL79">
        <f t="shared" si="97"/>
        <v>-2.5999999999999995E-2</v>
      </c>
      <c r="CM79" s="1">
        <v>0.18</v>
      </c>
      <c r="CN79">
        <f t="shared" si="98"/>
        <v>-2.6999999999999996E-2</v>
      </c>
      <c r="CO79" s="1">
        <v>0.188</v>
      </c>
      <c r="CP79">
        <f t="shared" si="99"/>
        <v>-2.8999999999999998E-2</v>
      </c>
      <c r="CQ79" s="1">
        <v>0.17399999999999999</v>
      </c>
      <c r="CR79">
        <f t="shared" si="100"/>
        <v>-2.5000000000000022E-2</v>
      </c>
      <c r="CS79" s="1">
        <v>0.184</v>
      </c>
      <c r="CT79">
        <f t="shared" si="101"/>
        <v>-1.6000000000000014E-2</v>
      </c>
      <c r="CU79" s="1">
        <v>0.18</v>
      </c>
      <c r="CV79">
        <f t="shared" si="102"/>
        <v>-4.0000000000000008E-2</v>
      </c>
      <c r="CW79" s="1">
        <v>0.17100000000000001</v>
      </c>
      <c r="CX79">
        <f t="shared" si="103"/>
        <v>-3.4999999999999976E-2</v>
      </c>
      <c r="CY79" s="1">
        <v>0.18</v>
      </c>
      <c r="CZ79">
        <f t="shared" si="104"/>
        <v>-2.7999999999999997E-2</v>
      </c>
      <c r="DA79">
        <v>0.17799999999999999</v>
      </c>
      <c r="DB79">
        <f t="shared" si="105"/>
        <v>-3.8000000000000006E-2</v>
      </c>
      <c r="DC79">
        <v>0.16900000000000001</v>
      </c>
      <c r="DD79">
        <f t="shared" si="106"/>
        <v>-3.4000000000000002E-2</v>
      </c>
      <c r="DE79">
        <v>0.20100000000000001</v>
      </c>
      <c r="DF79">
        <f t="shared" si="107"/>
        <v>-3.9999999999999758E-3</v>
      </c>
    </row>
    <row r="80" spans="1:110">
      <c r="A80" t="s">
        <v>211</v>
      </c>
      <c r="B80" t="s">
        <v>212</v>
      </c>
      <c r="C80" s="1">
        <v>9.7000000000000003E-2</v>
      </c>
      <c r="D80" s="1">
        <f t="shared" si="54"/>
        <v>-2.6999999999999996E-2</v>
      </c>
      <c r="E80" s="1">
        <v>0.104</v>
      </c>
      <c r="F80">
        <f t="shared" si="55"/>
        <v>-1.3999999999999999E-2</v>
      </c>
      <c r="G80" s="1">
        <v>9.8000000000000004E-2</v>
      </c>
      <c r="H80">
        <f t="shared" si="56"/>
        <v>-3.6000000000000004E-2</v>
      </c>
      <c r="I80" s="1">
        <v>0.85399999999999998</v>
      </c>
      <c r="J80">
        <f t="shared" si="57"/>
        <v>0.68199999999999994</v>
      </c>
      <c r="K80" s="1">
        <v>0.88900000000000001</v>
      </c>
      <c r="L80">
        <f t="shared" si="58"/>
        <v>0.71300000000000008</v>
      </c>
      <c r="M80" s="1">
        <v>0.78600000000000003</v>
      </c>
      <c r="N80">
        <f t="shared" si="59"/>
        <v>0.61899999999999999</v>
      </c>
      <c r="O80" s="1">
        <v>1.169</v>
      </c>
      <c r="P80">
        <f t="shared" si="60"/>
        <v>1.002</v>
      </c>
      <c r="Q80" s="1">
        <v>1.024</v>
      </c>
      <c r="R80">
        <f t="shared" si="61"/>
        <v>0.85299999999999998</v>
      </c>
      <c r="S80" s="1">
        <v>1.0489999999999999</v>
      </c>
      <c r="T80">
        <f t="shared" si="62"/>
        <v>0.85299999999999998</v>
      </c>
      <c r="U80" s="1">
        <v>0.94799999999999995</v>
      </c>
      <c r="V80">
        <f t="shared" si="63"/>
        <v>0.75800000000000001</v>
      </c>
      <c r="W80" s="1">
        <v>0.93799999999999994</v>
      </c>
      <c r="X80">
        <f t="shared" si="64"/>
        <v>0.754</v>
      </c>
      <c r="Y80" s="1">
        <v>0.94899999999999995</v>
      </c>
      <c r="Z80">
        <f t="shared" si="65"/>
        <v>0.72199999999999998</v>
      </c>
      <c r="AA80" s="1">
        <v>0.999</v>
      </c>
      <c r="AB80">
        <f t="shared" si="66"/>
        <v>0.80699999999999994</v>
      </c>
      <c r="AC80" s="1">
        <v>0.98599999999999999</v>
      </c>
      <c r="AD80">
        <f t="shared" si="67"/>
        <v>0.81099999999999994</v>
      </c>
      <c r="AE80" s="1">
        <v>0.97699999999999998</v>
      </c>
      <c r="AF80">
        <f t="shared" si="68"/>
        <v>0.76100000000000001</v>
      </c>
      <c r="AG80">
        <v>1.056</v>
      </c>
      <c r="AH80">
        <f t="shared" si="69"/>
        <v>0.89200000000000002</v>
      </c>
      <c r="AI80">
        <v>1.0009999999999999</v>
      </c>
      <c r="AJ80">
        <f t="shared" si="70"/>
        <v>0.82499999999999996</v>
      </c>
      <c r="AK80">
        <v>1.0009999999999999</v>
      </c>
      <c r="AL80">
        <f t="shared" si="71"/>
        <v>0.79799999999999982</v>
      </c>
      <c r="AM80" s="1">
        <v>0.10100000000000001</v>
      </c>
      <c r="AN80" s="2">
        <f t="shared" si="72"/>
        <v>-9.999999999999995E-3</v>
      </c>
      <c r="AO80" s="1">
        <v>9.9000000000000005E-2</v>
      </c>
      <c r="AP80" s="2">
        <f t="shared" si="73"/>
        <v>-9.999999999999995E-3</v>
      </c>
      <c r="AQ80" s="1">
        <v>0.14499999999999999</v>
      </c>
      <c r="AR80" s="2">
        <f t="shared" si="74"/>
        <v>3.2999999999999988E-2</v>
      </c>
      <c r="AS80" s="1">
        <v>0.84</v>
      </c>
      <c r="AT80" s="2">
        <f t="shared" si="75"/>
        <v>0.64399999999999991</v>
      </c>
      <c r="AU80" s="1">
        <v>0.87</v>
      </c>
      <c r="AV80" s="2">
        <f t="shared" si="76"/>
        <v>0.67199999999999993</v>
      </c>
      <c r="AW80" s="1">
        <v>0.875</v>
      </c>
      <c r="AX80" s="2">
        <f t="shared" si="77"/>
        <v>0.66900000000000004</v>
      </c>
      <c r="AY80" s="1">
        <v>1.204</v>
      </c>
      <c r="AZ80">
        <f t="shared" si="78"/>
        <v>0.995</v>
      </c>
      <c r="BA80" s="1">
        <v>1.181</v>
      </c>
      <c r="BB80">
        <f t="shared" si="79"/>
        <v>0.97500000000000009</v>
      </c>
      <c r="BC80" s="1">
        <v>1.1120000000000001</v>
      </c>
      <c r="BD80">
        <f t="shared" si="80"/>
        <v>0.89800000000000013</v>
      </c>
      <c r="BE80" s="1">
        <v>1.109</v>
      </c>
      <c r="BF80">
        <f t="shared" si="81"/>
        <v>0.89200000000000002</v>
      </c>
      <c r="BG80" s="1">
        <v>1.1000000000000001</v>
      </c>
      <c r="BH80">
        <f t="shared" si="82"/>
        <v>0.89500000000000013</v>
      </c>
      <c r="BI80" s="1">
        <v>1.0740000000000001</v>
      </c>
      <c r="BJ80">
        <f t="shared" si="83"/>
        <v>0.8680000000000001</v>
      </c>
      <c r="BK80" s="1">
        <v>1.0920000000000001</v>
      </c>
      <c r="BL80">
        <f t="shared" si="84"/>
        <v>0.87300000000000011</v>
      </c>
      <c r="BM80" s="1">
        <v>1.08</v>
      </c>
      <c r="BN80">
        <f t="shared" si="85"/>
        <v>0.8640000000000001</v>
      </c>
      <c r="BO80" s="1">
        <v>1.0409999999999999</v>
      </c>
      <c r="BP80">
        <f t="shared" si="86"/>
        <v>0.82</v>
      </c>
      <c r="BQ80">
        <v>1.0629999999999999</v>
      </c>
      <c r="BR80">
        <f t="shared" si="87"/>
        <v>0.84399999999999997</v>
      </c>
      <c r="BS80">
        <v>1.044</v>
      </c>
      <c r="BT80">
        <f t="shared" si="88"/>
        <v>0.84200000000000008</v>
      </c>
      <c r="BU80">
        <v>1.016</v>
      </c>
      <c r="BV80">
        <f t="shared" si="89"/>
        <v>0.79200000000000004</v>
      </c>
      <c r="BW80" s="1">
        <v>0.10100000000000001</v>
      </c>
      <c r="BX80" s="2">
        <f t="shared" si="90"/>
        <v>-5.7999999999999996E-2</v>
      </c>
      <c r="BY80" s="1">
        <v>9.6000000000000002E-2</v>
      </c>
      <c r="BZ80" s="2">
        <f t="shared" si="91"/>
        <v>-7.9999999999999932E-3</v>
      </c>
      <c r="CA80" s="1">
        <v>0.14000000000000001</v>
      </c>
      <c r="CB80" s="2">
        <f t="shared" si="92"/>
        <v>-0.34899999999999998</v>
      </c>
      <c r="CC80" s="1">
        <v>0.83499999999999996</v>
      </c>
      <c r="CD80" s="2">
        <f t="shared" si="93"/>
        <v>0.62</v>
      </c>
      <c r="CE80" s="1">
        <v>0.81299999999999994</v>
      </c>
      <c r="CF80" s="2">
        <f t="shared" si="94"/>
        <v>0.63100000000000001</v>
      </c>
      <c r="CG80" s="1">
        <v>0.84499999999999997</v>
      </c>
      <c r="CH80" s="2">
        <f t="shared" si="95"/>
        <v>0.65399999999999991</v>
      </c>
      <c r="CI80" s="1">
        <v>1.1919999999999999</v>
      </c>
      <c r="CJ80">
        <f t="shared" si="96"/>
        <v>0.98199999999999998</v>
      </c>
      <c r="CK80" s="1">
        <v>1.194</v>
      </c>
      <c r="CL80">
        <f t="shared" si="97"/>
        <v>0.99899999999999989</v>
      </c>
      <c r="CM80" s="1">
        <v>1.206</v>
      </c>
      <c r="CN80">
        <f t="shared" si="98"/>
        <v>0.999</v>
      </c>
      <c r="CO80" s="1">
        <v>1.1439999999999999</v>
      </c>
      <c r="CP80">
        <f t="shared" si="99"/>
        <v>0.92699999999999994</v>
      </c>
      <c r="CQ80" s="1">
        <v>1.1100000000000001</v>
      </c>
      <c r="CR80">
        <f t="shared" si="100"/>
        <v>0.91100000000000003</v>
      </c>
      <c r="CS80" s="1">
        <v>1.117</v>
      </c>
      <c r="CT80">
        <f t="shared" si="101"/>
        <v>0.91700000000000004</v>
      </c>
      <c r="CU80" s="1">
        <v>1.0720000000000001</v>
      </c>
      <c r="CV80">
        <f t="shared" si="102"/>
        <v>0.85200000000000009</v>
      </c>
      <c r="CW80" s="1">
        <v>1.0880000000000001</v>
      </c>
      <c r="CX80">
        <f t="shared" si="103"/>
        <v>0.88200000000000012</v>
      </c>
      <c r="CY80" s="1">
        <v>1.1020000000000001</v>
      </c>
      <c r="CZ80">
        <f t="shared" si="104"/>
        <v>0.89400000000000013</v>
      </c>
      <c r="DA80">
        <v>1.034</v>
      </c>
      <c r="DB80">
        <f t="shared" si="105"/>
        <v>0.81800000000000006</v>
      </c>
      <c r="DC80">
        <v>1.0580000000000001</v>
      </c>
      <c r="DD80">
        <f t="shared" si="106"/>
        <v>0.85499999999999998</v>
      </c>
      <c r="DE80">
        <v>1.0980000000000001</v>
      </c>
      <c r="DF80">
        <f t="shared" si="107"/>
        <v>0.89300000000000013</v>
      </c>
    </row>
    <row r="81" spans="1:110">
      <c r="A81" t="s">
        <v>213</v>
      </c>
      <c r="B81" t="s">
        <v>214</v>
      </c>
      <c r="C81" s="1">
        <v>0.16500000000000001</v>
      </c>
      <c r="D81" s="1">
        <f t="shared" si="54"/>
        <v>4.1000000000000009E-2</v>
      </c>
      <c r="E81" s="1">
        <v>0.14699999999999999</v>
      </c>
      <c r="F81">
        <f t="shared" si="55"/>
        <v>2.8999999999999998E-2</v>
      </c>
      <c r="G81" s="1">
        <v>0.13400000000000001</v>
      </c>
      <c r="H81">
        <f t="shared" si="56"/>
        <v>0</v>
      </c>
      <c r="I81" s="1">
        <v>0.34699999999999998</v>
      </c>
      <c r="J81">
        <f t="shared" si="57"/>
        <v>0.17499999999999999</v>
      </c>
      <c r="K81" s="1">
        <v>0.438</v>
      </c>
      <c r="L81">
        <f t="shared" si="58"/>
        <v>0.26200000000000001</v>
      </c>
      <c r="M81" s="1">
        <v>0.39100000000000001</v>
      </c>
      <c r="N81">
        <f t="shared" si="59"/>
        <v>0.224</v>
      </c>
      <c r="O81" s="1">
        <v>0.32100000000000001</v>
      </c>
      <c r="P81">
        <f t="shared" si="60"/>
        <v>0.154</v>
      </c>
      <c r="Q81" s="1">
        <v>0.40200000000000002</v>
      </c>
      <c r="R81">
        <f t="shared" si="61"/>
        <v>0.23100000000000001</v>
      </c>
      <c r="S81" s="1">
        <v>0.32200000000000001</v>
      </c>
      <c r="T81">
        <f t="shared" si="62"/>
        <v>0.126</v>
      </c>
      <c r="U81" s="1">
        <v>0.30399999999999999</v>
      </c>
      <c r="V81">
        <f t="shared" si="63"/>
        <v>0.11399999999999999</v>
      </c>
      <c r="W81" s="1">
        <v>0.372</v>
      </c>
      <c r="X81">
        <f t="shared" si="64"/>
        <v>0.188</v>
      </c>
      <c r="Y81" s="1">
        <v>0.33</v>
      </c>
      <c r="Z81">
        <f t="shared" si="65"/>
        <v>0.10300000000000001</v>
      </c>
      <c r="AA81" s="1">
        <v>0.29199999999999998</v>
      </c>
      <c r="AB81">
        <f t="shared" si="66"/>
        <v>9.9999999999999978E-2</v>
      </c>
      <c r="AC81" s="1">
        <v>0.36399999999999999</v>
      </c>
      <c r="AD81">
        <f t="shared" si="67"/>
        <v>0.189</v>
      </c>
      <c r="AE81" s="1">
        <v>0.33300000000000002</v>
      </c>
      <c r="AF81">
        <f t="shared" si="68"/>
        <v>0.11700000000000002</v>
      </c>
      <c r="AG81">
        <v>0.35899999999999999</v>
      </c>
      <c r="AH81">
        <f t="shared" si="69"/>
        <v>0.19499999999999998</v>
      </c>
      <c r="AI81">
        <v>0.36</v>
      </c>
      <c r="AJ81">
        <f t="shared" si="70"/>
        <v>0.184</v>
      </c>
      <c r="AK81">
        <v>0.34</v>
      </c>
      <c r="AL81">
        <f t="shared" si="71"/>
        <v>0.13700000000000001</v>
      </c>
      <c r="AM81" s="1">
        <v>0.112</v>
      </c>
      <c r="AN81" s="2">
        <f t="shared" si="72"/>
        <v>1.0000000000000009E-3</v>
      </c>
      <c r="AO81" s="1">
        <v>0.11</v>
      </c>
      <c r="AP81" s="2">
        <f t="shared" si="73"/>
        <v>1.0000000000000009E-3</v>
      </c>
      <c r="AQ81" s="1">
        <v>0.16800000000000001</v>
      </c>
      <c r="AR81" s="2">
        <f t="shared" si="74"/>
        <v>5.6000000000000008E-2</v>
      </c>
      <c r="AS81" s="1">
        <v>0.38</v>
      </c>
      <c r="AT81" s="2">
        <f t="shared" si="75"/>
        <v>0.184</v>
      </c>
      <c r="AU81" s="1">
        <v>0.41899999999999998</v>
      </c>
      <c r="AV81" s="2">
        <f t="shared" si="76"/>
        <v>0.22099999999999997</v>
      </c>
      <c r="AW81" s="1">
        <v>0.48299999999999998</v>
      </c>
      <c r="AX81" s="2">
        <f t="shared" si="77"/>
        <v>0.27700000000000002</v>
      </c>
      <c r="AY81" s="1">
        <v>0.49299999999999999</v>
      </c>
      <c r="AZ81">
        <f t="shared" si="78"/>
        <v>0.28400000000000003</v>
      </c>
      <c r="BA81" s="1">
        <v>0.504</v>
      </c>
      <c r="BB81">
        <f t="shared" si="79"/>
        <v>0.29800000000000004</v>
      </c>
      <c r="BC81" s="1">
        <v>0.54200000000000004</v>
      </c>
      <c r="BD81">
        <f t="shared" si="80"/>
        <v>0.32800000000000007</v>
      </c>
      <c r="BE81" s="1">
        <v>0.503</v>
      </c>
      <c r="BF81">
        <f t="shared" si="81"/>
        <v>0.28600000000000003</v>
      </c>
      <c r="BG81" s="1">
        <v>0.51900000000000002</v>
      </c>
      <c r="BH81">
        <f t="shared" si="82"/>
        <v>0.31400000000000006</v>
      </c>
      <c r="BI81" s="1">
        <v>0.56599999999999995</v>
      </c>
      <c r="BJ81">
        <f t="shared" si="83"/>
        <v>0.36</v>
      </c>
      <c r="BK81" s="1">
        <v>0.50800000000000001</v>
      </c>
      <c r="BL81">
        <f t="shared" si="84"/>
        <v>0.28900000000000003</v>
      </c>
      <c r="BM81" s="1">
        <v>0.52300000000000002</v>
      </c>
      <c r="BN81">
        <f t="shared" si="85"/>
        <v>0.30700000000000005</v>
      </c>
      <c r="BO81" s="1">
        <v>0.54900000000000004</v>
      </c>
      <c r="BP81">
        <f t="shared" si="86"/>
        <v>0.32800000000000007</v>
      </c>
      <c r="BQ81">
        <v>0.51900000000000002</v>
      </c>
      <c r="BR81">
        <f t="shared" si="87"/>
        <v>0.30000000000000004</v>
      </c>
      <c r="BS81">
        <v>0.53600000000000003</v>
      </c>
      <c r="BT81">
        <f t="shared" si="88"/>
        <v>0.33400000000000002</v>
      </c>
      <c r="BU81">
        <v>0.55600000000000005</v>
      </c>
      <c r="BV81">
        <f t="shared" si="89"/>
        <v>0.33200000000000007</v>
      </c>
      <c r="BW81" s="1">
        <v>0.14499999999999999</v>
      </c>
      <c r="BX81" s="2">
        <f t="shared" si="90"/>
        <v>-1.4000000000000012E-2</v>
      </c>
      <c r="BY81" s="1">
        <v>0.114</v>
      </c>
      <c r="BZ81" s="2">
        <f t="shared" si="91"/>
        <v>1.0000000000000009E-2</v>
      </c>
      <c r="CA81" s="1">
        <v>0.19400000000000001</v>
      </c>
      <c r="CB81" s="2">
        <f t="shared" si="92"/>
        <v>-0.29499999999999998</v>
      </c>
      <c r="CC81" s="1">
        <v>0.42499999999999999</v>
      </c>
      <c r="CD81" s="2">
        <f t="shared" si="93"/>
        <v>0.21</v>
      </c>
      <c r="CE81" s="1">
        <v>0.317</v>
      </c>
      <c r="CF81" s="2">
        <f t="shared" si="94"/>
        <v>0.13500000000000001</v>
      </c>
      <c r="CG81" s="1">
        <v>0.374</v>
      </c>
      <c r="CH81" s="2">
        <f t="shared" si="95"/>
        <v>0.183</v>
      </c>
      <c r="CI81" s="1">
        <v>0.48199999999999998</v>
      </c>
      <c r="CJ81">
        <f t="shared" si="96"/>
        <v>0.27200000000000002</v>
      </c>
      <c r="CK81" s="1">
        <v>0.41399999999999998</v>
      </c>
      <c r="CL81">
        <f t="shared" si="97"/>
        <v>0.21899999999999997</v>
      </c>
      <c r="CM81" s="1">
        <v>0.499</v>
      </c>
      <c r="CN81">
        <f t="shared" si="98"/>
        <v>0.29200000000000004</v>
      </c>
      <c r="CO81" s="1">
        <v>0.5</v>
      </c>
      <c r="CP81">
        <f t="shared" si="99"/>
        <v>0.28300000000000003</v>
      </c>
      <c r="CQ81" s="1">
        <v>0.437</v>
      </c>
      <c r="CR81">
        <f t="shared" si="100"/>
        <v>0.23799999999999999</v>
      </c>
      <c r="CS81" s="1">
        <v>0.505</v>
      </c>
      <c r="CT81">
        <f t="shared" si="101"/>
        <v>0.30499999999999999</v>
      </c>
      <c r="CU81" s="1">
        <v>0.49199999999999999</v>
      </c>
      <c r="CV81">
        <f t="shared" si="102"/>
        <v>0.27200000000000002</v>
      </c>
      <c r="CW81" s="1">
        <v>0.438</v>
      </c>
      <c r="CX81">
        <f t="shared" si="103"/>
        <v>0.23200000000000001</v>
      </c>
      <c r="CY81" s="1">
        <v>0.51500000000000001</v>
      </c>
      <c r="CZ81">
        <f t="shared" si="104"/>
        <v>0.30700000000000005</v>
      </c>
      <c r="DA81">
        <v>0.49199999999999999</v>
      </c>
      <c r="DB81">
        <f t="shared" si="105"/>
        <v>0.27600000000000002</v>
      </c>
      <c r="DC81">
        <v>0.43</v>
      </c>
      <c r="DD81">
        <f t="shared" si="106"/>
        <v>0.22699999999999998</v>
      </c>
      <c r="DE81">
        <v>0.52900000000000003</v>
      </c>
      <c r="DF81">
        <f t="shared" si="107"/>
        <v>0.32400000000000007</v>
      </c>
    </row>
    <row r="82" spans="1:110">
      <c r="A82" t="s">
        <v>215</v>
      </c>
      <c r="B82" t="s">
        <v>216</v>
      </c>
      <c r="C82" s="1">
        <v>0.105</v>
      </c>
      <c r="D82" s="1">
        <f t="shared" si="54"/>
        <v>-1.9000000000000003E-2</v>
      </c>
      <c r="E82" s="1">
        <v>0.11</v>
      </c>
      <c r="F82">
        <f t="shared" si="55"/>
        <v>-7.9999999999999932E-3</v>
      </c>
      <c r="G82" s="1">
        <v>0.106</v>
      </c>
      <c r="H82">
        <f t="shared" si="56"/>
        <v>-2.8000000000000011E-2</v>
      </c>
      <c r="I82" s="1">
        <v>0.11</v>
      </c>
      <c r="J82">
        <f t="shared" si="57"/>
        <v>-6.1999999999999986E-2</v>
      </c>
      <c r="K82" s="1">
        <v>0.11899999999999999</v>
      </c>
      <c r="L82">
        <f t="shared" si="58"/>
        <v>-5.6999999999999995E-2</v>
      </c>
      <c r="M82" s="1">
        <v>0.115</v>
      </c>
      <c r="N82">
        <f t="shared" si="59"/>
        <v>-5.2000000000000005E-2</v>
      </c>
      <c r="O82" s="1">
        <v>0.113</v>
      </c>
      <c r="P82">
        <f t="shared" si="60"/>
        <v>-5.4000000000000006E-2</v>
      </c>
      <c r="Q82" s="1">
        <v>0.124</v>
      </c>
      <c r="R82">
        <f t="shared" si="61"/>
        <v>-4.7000000000000014E-2</v>
      </c>
      <c r="S82" s="1">
        <v>0.11700000000000001</v>
      </c>
      <c r="T82">
        <f t="shared" si="62"/>
        <v>-7.9000000000000001E-2</v>
      </c>
      <c r="U82" s="1">
        <v>0.115</v>
      </c>
      <c r="V82">
        <f t="shared" si="63"/>
        <v>-7.4999999999999997E-2</v>
      </c>
      <c r="W82" s="1">
        <v>0.128</v>
      </c>
      <c r="X82">
        <f t="shared" si="64"/>
        <v>-5.5999999999999994E-2</v>
      </c>
      <c r="Y82" s="1">
        <v>0.12</v>
      </c>
      <c r="Z82">
        <f t="shared" si="65"/>
        <v>-0.10700000000000001</v>
      </c>
      <c r="AA82" s="1">
        <v>0.26300000000000001</v>
      </c>
      <c r="AB82">
        <f t="shared" si="66"/>
        <v>7.1000000000000008E-2</v>
      </c>
      <c r="AC82" s="1">
        <v>0.13100000000000001</v>
      </c>
      <c r="AD82">
        <f t="shared" si="67"/>
        <v>-4.3999999999999984E-2</v>
      </c>
      <c r="AE82" s="1">
        <v>0.125</v>
      </c>
      <c r="AF82">
        <f t="shared" si="68"/>
        <v>-9.0999999999999998E-2</v>
      </c>
      <c r="AG82">
        <v>0.11</v>
      </c>
      <c r="AH82">
        <f t="shared" si="69"/>
        <v>-5.4000000000000006E-2</v>
      </c>
      <c r="AI82">
        <v>0.13300000000000001</v>
      </c>
      <c r="AJ82">
        <f t="shared" si="70"/>
        <v>-4.2999999999999983E-2</v>
      </c>
      <c r="AK82">
        <v>0.124</v>
      </c>
      <c r="AL82">
        <f t="shared" si="71"/>
        <v>-7.9000000000000015E-2</v>
      </c>
      <c r="AM82" s="1">
        <v>0.112</v>
      </c>
      <c r="AN82" s="2">
        <f t="shared" si="72"/>
        <v>1.0000000000000009E-3</v>
      </c>
      <c r="AO82" s="1">
        <v>0.106</v>
      </c>
      <c r="AP82" s="2">
        <f t="shared" si="73"/>
        <v>-3.0000000000000027E-3</v>
      </c>
      <c r="AQ82" s="1">
        <v>0.16200000000000001</v>
      </c>
      <c r="AR82" s="2">
        <f t="shared" si="74"/>
        <v>0.05</v>
      </c>
      <c r="AS82" s="1">
        <v>0.11600000000000001</v>
      </c>
      <c r="AT82" s="2">
        <f t="shared" si="75"/>
        <v>-0.08</v>
      </c>
      <c r="AU82" s="1">
        <v>0.111</v>
      </c>
      <c r="AV82" s="2">
        <f t="shared" si="76"/>
        <v>-8.7000000000000008E-2</v>
      </c>
      <c r="AW82" s="1">
        <v>0.16300000000000001</v>
      </c>
      <c r="AX82" s="2">
        <f t="shared" si="77"/>
        <v>-4.2999999999999983E-2</v>
      </c>
      <c r="AY82" s="1">
        <v>0.11700000000000001</v>
      </c>
      <c r="AZ82">
        <f t="shared" si="78"/>
        <v>-9.1999999999999985E-2</v>
      </c>
      <c r="BA82" s="1">
        <v>0.112</v>
      </c>
      <c r="BB82">
        <f t="shared" si="79"/>
        <v>-9.3999999999999986E-2</v>
      </c>
      <c r="BC82" s="1">
        <v>0.11600000000000001</v>
      </c>
      <c r="BD82">
        <f t="shared" si="80"/>
        <v>-9.799999999999999E-2</v>
      </c>
      <c r="BE82" s="1">
        <v>0.12</v>
      </c>
      <c r="BF82">
        <f t="shared" si="81"/>
        <v>-9.7000000000000003E-2</v>
      </c>
      <c r="BG82" s="1">
        <v>0.113</v>
      </c>
      <c r="BH82">
        <f t="shared" si="82"/>
        <v>-9.1999999999999985E-2</v>
      </c>
      <c r="BI82" s="1">
        <v>0.13600000000000001</v>
      </c>
      <c r="BJ82">
        <f t="shared" si="83"/>
        <v>-6.9999999999999979E-2</v>
      </c>
      <c r="BK82" s="1">
        <v>0.122</v>
      </c>
      <c r="BL82">
        <f t="shared" si="84"/>
        <v>-9.7000000000000003E-2</v>
      </c>
      <c r="BM82" s="1">
        <v>0.11899999999999999</v>
      </c>
      <c r="BN82">
        <f t="shared" si="85"/>
        <v>-9.7000000000000003E-2</v>
      </c>
      <c r="BO82" s="1">
        <v>0.12</v>
      </c>
      <c r="BP82">
        <f t="shared" si="86"/>
        <v>-0.10100000000000001</v>
      </c>
      <c r="BQ82">
        <v>0.125</v>
      </c>
      <c r="BR82">
        <f t="shared" si="87"/>
        <v>-9.4E-2</v>
      </c>
      <c r="BS82">
        <v>0.11600000000000001</v>
      </c>
      <c r="BT82">
        <f t="shared" si="88"/>
        <v>-8.6000000000000007E-2</v>
      </c>
      <c r="BU82">
        <v>0.124</v>
      </c>
      <c r="BV82">
        <f t="shared" si="89"/>
        <v>-0.1</v>
      </c>
      <c r="BW82" s="1">
        <v>0.112</v>
      </c>
      <c r="BX82" s="2">
        <f t="shared" si="90"/>
        <v>-4.7E-2</v>
      </c>
      <c r="BY82" s="1">
        <v>0.10199999999999999</v>
      </c>
      <c r="BZ82" s="2">
        <f t="shared" si="91"/>
        <v>-2.0000000000000018E-3</v>
      </c>
      <c r="CA82" s="1">
        <v>0.17599999999999999</v>
      </c>
      <c r="CB82" s="2">
        <f t="shared" si="92"/>
        <v>-0.313</v>
      </c>
      <c r="CC82" s="1">
        <v>0.122</v>
      </c>
      <c r="CD82" s="2">
        <f t="shared" si="93"/>
        <v>-9.2999999999999999E-2</v>
      </c>
      <c r="CE82" s="1">
        <v>0.106</v>
      </c>
      <c r="CF82" s="2">
        <f t="shared" si="94"/>
        <v>-7.5999999999999998E-2</v>
      </c>
      <c r="CG82" s="1">
        <v>0.189</v>
      </c>
      <c r="CH82" s="2">
        <f t="shared" si="95"/>
        <v>-2.0000000000000018E-3</v>
      </c>
      <c r="CI82" s="1">
        <v>0.123</v>
      </c>
      <c r="CJ82">
        <f t="shared" si="96"/>
        <v>-8.6999999999999994E-2</v>
      </c>
      <c r="CK82" s="1">
        <v>0.107</v>
      </c>
      <c r="CL82">
        <f t="shared" si="97"/>
        <v>-8.8000000000000009E-2</v>
      </c>
      <c r="CM82" s="1">
        <v>0.112</v>
      </c>
      <c r="CN82">
        <f t="shared" si="98"/>
        <v>-9.4999999999999987E-2</v>
      </c>
      <c r="CO82" s="1">
        <v>0.123</v>
      </c>
      <c r="CP82">
        <f t="shared" si="99"/>
        <v>-9.4E-2</v>
      </c>
      <c r="CQ82" s="1">
        <v>0.11</v>
      </c>
      <c r="CR82">
        <f t="shared" si="100"/>
        <v>-8.900000000000001E-2</v>
      </c>
      <c r="CS82" s="1">
        <v>0.112</v>
      </c>
      <c r="CT82">
        <f t="shared" si="101"/>
        <v>-8.8000000000000009E-2</v>
      </c>
      <c r="CU82" s="1">
        <v>0.126</v>
      </c>
      <c r="CV82">
        <f t="shared" si="102"/>
        <v>-9.4E-2</v>
      </c>
      <c r="CW82" s="1">
        <v>0.11</v>
      </c>
      <c r="CX82">
        <f t="shared" si="103"/>
        <v>-9.5999999999999988E-2</v>
      </c>
      <c r="CY82" s="1">
        <v>0.113</v>
      </c>
      <c r="CZ82">
        <f t="shared" si="104"/>
        <v>-9.4999999999999987E-2</v>
      </c>
      <c r="DA82">
        <v>0.129</v>
      </c>
      <c r="DB82">
        <f t="shared" si="105"/>
        <v>-8.6999999999999994E-2</v>
      </c>
      <c r="DC82">
        <v>0.114</v>
      </c>
      <c r="DD82">
        <f t="shared" si="106"/>
        <v>-8.900000000000001E-2</v>
      </c>
      <c r="DE82">
        <v>0.14499999999999999</v>
      </c>
      <c r="DF82">
        <f t="shared" si="107"/>
        <v>-0.06</v>
      </c>
    </row>
    <row r="83" spans="1:110">
      <c r="A83" t="s">
        <v>217</v>
      </c>
      <c r="B83" t="s">
        <v>218</v>
      </c>
      <c r="C83" s="1">
        <v>0.11700000000000001</v>
      </c>
      <c r="D83" s="1">
        <f t="shared" si="54"/>
        <v>-6.9999999999999923E-3</v>
      </c>
      <c r="E83" s="1">
        <v>0.122</v>
      </c>
      <c r="F83">
        <f t="shared" si="55"/>
        <v>4.0000000000000036E-3</v>
      </c>
      <c r="G83" s="1">
        <v>0.13500000000000001</v>
      </c>
      <c r="H83">
        <f t="shared" si="56"/>
        <v>1.0000000000000009E-3</v>
      </c>
      <c r="I83" s="1">
        <v>0.14199999999999999</v>
      </c>
      <c r="J83">
        <f t="shared" si="57"/>
        <v>-0.03</v>
      </c>
      <c r="K83" s="1">
        <v>0.41799999999999998</v>
      </c>
      <c r="L83">
        <f t="shared" si="58"/>
        <v>0.24199999999999999</v>
      </c>
      <c r="M83" s="1">
        <v>0.17899999999999999</v>
      </c>
      <c r="N83">
        <f t="shared" si="59"/>
        <v>1.1999999999999983E-2</v>
      </c>
      <c r="O83" s="1">
        <v>0.25</v>
      </c>
      <c r="P83">
        <f t="shared" si="60"/>
        <v>8.299999999999999E-2</v>
      </c>
      <c r="Q83" s="1">
        <v>0.749</v>
      </c>
      <c r="R83">
        <f t="shared" si="61"/>
        <v>0.57799999999999996</v>
      </c>
      <c r="S83" s="1">
        <v>0.27700000000000002</v>
      </c>
      <c r="T83">
        <f t="shared" si="62"/>
        <v>8.1000000000000016E-2</v>
      </c>
      <c r="U83" s="1">
        <v>0.26500000000000001</v>
      </c>
      <c r="V83">
        <f t="shared" si="63"/>
        <v>7.5000000000000011E-2</v>
      </c>
      <c r="W83" s="1">
        <v>0.70499999999999996</v>
      </c>
      <c r="X83">
        <f t="shared" si="64"/>
        <v>0.52099999999999991</v>
      </c>
      <c r="Y83" s="1">
        <v>0.27700000000000002</v>
      </c>
      <c r="Z83">
        <f t="shared" si="65"/>
        <v>5.0000000000000017E-2</v>
      </c>
      <c r="AA83" s="1">
        <v>0.42399999999999999</v>
      </c>
      <c r="AB83">
        <f t="shared" si="66"/>
        <v>0.23199999999999998</v>
      </c>
      <c r="AC83" s="1">
        <v>0.68100000000000005</v>
      </c>
      <c r="AD83">
        <f t="shared" si="67"/>
        <v>0.50600000000000001</v>
      </c>
      <c r="AE83" s="1">
        <v>0.28199999999999997</v>
      </c>
      <c r="AF83">
        <f t="shared" si="68"/>
        <v>6.5999999999999975E-2</v>
      </c>
      <c r="AG83">
        <v>0.247</v>
      </c>
      <c r="AH83">
        <f t="shared" si="69"/>
        <v>8.299999999999999E-2</v>
      </c>
      <c r="AI83">
        <v>0.67</v>
      </c>
      <c r="AJ83">
        <f t="shared" si="70"/>
        <v>0.49400000000000005</v>
      </c>
      <c r="AK83">
        <v>0.27800000000000002</v>
      </c>
      <c r="AL83">
        <f t="shared" si="71"/>
        <v>7.5000000000000011E-2</v>
      </c>
      <c r="AM83" s="1">
        <v>0.124</v>
      </c>
      <c r="AN83" s="2">
        <f t="shared" si="72"/>
        <v>1.2999999999999998E-2</v>
      </c>
      <c r="AO83" s="1">
        <v>0.127</v>
      </c>
      <c r="AP83" s="2">
        <f t="shared" si="73"/>
        <v>1.8000000000000002E-2</v>
      </c>
      <c r="AQ83" s="1">
        <v>0.16</v>
      </c>
      <c r="AR83" s="2">
        <f t="shared" si="74"/>
        <v>4.8000000000000001E-2</v>
      </c>
      <c r="AS83" s="1">
        <v>0.123</v>
      </c>
      <c r="AT83" s="2">
        <f t="shared" si="75"/>
        <v>-7.3000000000000009E-2</v>
      </c>
      <c r="AU83" s="1">
        <v>0.16600000000000001</v>
      </c>
      <c r="AV83" s="2">
        <f t="shared" si="76"/>
        <v>-3.2000000000000001E-2</v>
      </c>
      <c r="AW83" s="1">
        <v>0.19400000000000001</v>
      </c>
      <c r="AX83" s="2">
        <f t="shared" si="77"/>
        <v>-1.1999999999999983E-2</v>
      </c>
      <c r="AY83" s="1">
        <v>0.123</v>
      </c>
      <c r="AZ83">
        <f t="shared" si="78"/>
        <v>-8.5999999999999993E-2</v>
      </c>
      <c r="BA83" s="1">
        <v>0.30299999999999999</v>
      </c>
      <c r="BB83">
        <f t="shared" si="79"/>
        <v>9.7000000000000003E-2</v>
      </c>
      <c r="BC83" s="1">
        <v>0.26500000000000001</v>
      </c>
      <c r="BD83">
        <f t="shared" si="80"/>
        <v>5.1000000000000018E-2</v>
      </c>
      <c r="BE83" s="1">
        <v>0.124</v>
      </c>
      <c r="BF83">
        <f t="shared" si="81"/>
        <v>-9.2999999999999999E-2</v>
      </c>
      <c r="BG83" s="1">
        <v>0.33</v>
      </c>
      <c r="BH83">
        <f t="shared" si="82"/>
        <v>0.12500000000000003</v>
      </c>
      <c r="BI83" s="1">
        <v>0.29799999999999999</v>
      </c>
      <c r="BJ83">
        <f t="shared" si="83"/>
        <v>9.1999999999999998E-2</v>
      </c>
      <c r="BK83" s="1">
        <v>0.125</v>
      </c>
      <c r="BL83">
        <f t="shared" si="84"/>
        <v>-9.4E-2</v>
      </c>
      <c r="BM83" s="1">
        <v>0.33800000000000002</v>
      </c>
      <c r="BN83">
        <f t="shared" si="85"/>
        <v>0.12200000000000003</v>
      </c>
      <c r="BO83" s="1">
        <v>0.311</v>
      </c>
      <c r="BP83">
        <f t="shared" si="86"/>
        <v>0.09</v>
      </c>
      <c r="BQ83">
        <v>0.127</v>
      </c>
      <c r="BR83">
        <f t="shared" si="87"/>
        <v>-9.1999999999999998E-2</v>
      </c>
      <c r="BS83">
        <v>0.34399999999999997</v>
      </c>
      <c r="BT83">
        <f t="shared" si="88"/>
        <v>0.14199999999999996</v>
      </c>
      <c r="BU83">
        <v>0.32</v>
      </c>
      <c r="BV83">
        <f t="shared" si="89"/>
        <v>9.6000000000000002E-2</v>
      </c>
      <c r="BW83" s="1">
        <v>0.128</v>
      </c>
      <c r="BX83" s="2">
        <f t="shared" si="90"/>
        <v>-3.1E-2</v>
      </c>
      <c r="BY83" s="1">
        <v>0.115</v>
      </c>
      <c r="BZ83" s="2">
        <f t="shared" si="91"/>
        <v>1.100000000000001E-2</v>
      </c>
      <c r="CA83" s="1">
        <v>0.13300000000000001</v>
      </c>
      <c r="CB83" s="2">
        <f t="shared" si="92"/>
        <v>-0.35599999999999998</v>
      </c>
      <c r="CC83" s="1">
        <v>0.151</v>
      </c>
      <c r="CD83" s="2">
        <f t="shared" si="93"/>
        <v>-6.4000000000000001E-2</v>
      </c>
      <c r="CE83" s="1">
        <v>0.16300000000000001</v>
      </c>
      <c r="CF83" s="2">
        <f t="shared" si="94"/>
        <v>-1.8999999999999989E-2</v>
      </c>
      <c r="CG83" s="1">
        <v>0.185</v>
      </c>
      <c r="CH83" s="2">
        <f t="shared" si="95"/>
        <v>-6.0000000000000053E-3</v>
      </c>
      <c r="CI83" s="1">
        <v>0.24099999999999999</v>
      </c>
      <c r="CJ83">
        <f t="shared" si="96"/>
        <v>3.1E-2</v>
      </c>
      <c r="CK83" s="1">
        <v>0.23</v>
      </c>
      <c r="CL83">
        <f t="shared" si="97"/>
        <v>3.5000000000000003E-2</v>
      </c>
      <c r="CM83" s="1">
        <v>0.13200000000000001</v>
      </c>
      <c r="CN83">
        <f t="shared" si="98"/>
        <v>-7.4999999999999983E-2</v>
      </c>
      <c r="CO83" s="1">
        <v>0.26500000000000001</v>
      </c>
      <c r="CP83">
        <f t="shared" si="99"/>
        <v>4.8000000000000015E-2</v>
      </c>
      <c r="CQ83" s="1">
        <v>0.26100000000000001</v>
      </c>
      <c r="CR83">
        <f t="shared" si="100"/>
        <v>6.2E-2</v>
      </c>
      <c r="CS83" s="1">
        <v>0.13800000000000001</v>
      </c>
      <c r="CT83">
        <f t="shared" si="101"/>
        <v>-6.2E-2</v>
      </c>
      <c r="CU83" s="1">
        <v>0.27700000000000002</v>
      </c>
      <c r="CV83">
        <f t="shared" si="102"/>
        <v>5.7000000000000023E-2</v>
      </c>
      <c r="CW83" s="1">
        <v>0.27900000000000003</v>
      </c>
      <c r="CX83">
        <f t="shared" si="103"/>
        <v>7.3000000000000037E-2</v>
      </c>
      <c r="CY83" s="1">
        <v>0.14299999999999999</v>
      </c>
      <c r="CZ83">
        <f t="shared" si="104"/>
        <v>-6.5000000000000002E-2</v>
      </c>
      <c r="DA83">
        <v>0.27600000000000002</v>
      </c>
      <c r="DB83">
        <f t="shared" si="105"/>
        <v>6.0000000000000026E-2</v>
      </c>
      <c r="DC83">
        <v>0.28499999999999998</v>
      </c>
      <c r="DD83">
        <f t="shared" si="106"/>
        <v>8.1999999999999962E-2</v>
      </c>
      <c r="DE83">
        <v>0.14699999999999999</v>
      </c>
      <c r="DF83">
        <f t="shared" si="107"/>
        <v>-5.7999999999999996E-2</v>
      </c>
    </row>
    <row r="84" spans="1:110">
      <c r="A84" t="s">
        <v>219</v>
      </c>
      <c r="B84" t="s">
        <v>220</v>
      </c>
      <c r="C84" s="1">
        <v>0.105</v>
      </c>
      <c r="D84" s="1">
        <f t="shared" si="54"/>
        <v>-1.9000000000000003E-2</v>
      </c>
      <c r="E84" s="1">
        <v>0.111</v>
      </c>
      <c r="F84">
        <f t="shared" si="55"/>
        <v>-6.9999999999999923E-3</v>
      </c>
      <c r="G84" s="1">
        <v>0.105</v>
      </c>
      <c r="H84">
        <f t="shared" si="56"/>
        <v>-2.9000000000000012E-2</v>
      </c>
      <c r="I84" s="1">
        <v>0.11</v>
      </c>
      <c r="J84">
        <f t="shared" si="57"/>
        <v>-6.1999999999999986E-2</v>
      </c>
      <c r="K84" s="1">
        <v>0.112</v>
      </c>
      <c r="L84">
        <f t="shared" si="58"/>
        <v>-6.3999999999999987E-2</v>
      </c>
      <c r="M84" s="1">
        <v>0.106</v>
      </c>
      <c r="N84">
        <f t="shared" si="59"/>
        <v>-6.1000000000000013E-2</v>
      </c>
      <c r="O84" s="1">
        <v>0.111</v>
      </c>
      <c r="P84">
        <f t="shared" si="60"/>
        <v>-5.6000000000000008E-2</v>
      </c>
      <c r="Q84" s="1">
        <v>0.112</v>
      </c>
      <c r="R84">
        <f t="shared" si="61"/>
        <v>-5.9000000000000011E-2</v>
      </c>
      <c r="S84" s="1">
        <v>0.108</v>
      </c>
      <c r="T84">
        <f t="shared" si="62"/>
        <v>-8.8000000000000009E-2</v>
      </c>
      <c r="U84" s="1">
        <v>0.112</v>
      </c>
      <c r="V84">
        <f t="shared" si="63"/>
        <v>-7.8E-2</v>
      </c>
      <c r="W84" s="1">
        <v>0.114</v>
      </c>
      <c r="X84">
        <f t="shared" si="64"/>
        <v>-6.9999999999999993E-2</v>
      </c>
      <c r="Y84" s="1">
        <v>0.109</v>
      </c>
      <c r="Z84">
        <f t="shared" si="65"/>
        <v>-0.11800000000000001</v>
      </c>
      <c r="AA84" s="1">
        <v>0.151</v>
      </c>
      <c r="AB84">
        <f t="shared" si="66"/>
        <v>-4.1000000000000009E-2</v>
      </c>
      <c r="AC84" s="1">
        <v>0.11700000000000001</v>
      </c>
      <c r="AD84">
        <f t="shared" si="67"/>
        <v>-5.7999999999999982E-2</v>
      </c>
      <c r="AE84" s="1">
        <v>0.112</v>
      </c>
      <c r="AF84">
        <f t="shared" si="68"/>
        <v>-0.104</v>
      </c>
      <c r="AG84">
        <v>0.106</v>
      </c>
      <c r="AH84">
        <f t="shared" si="69"/>
        <v>-5.800000000000001E-2</v>
      </c>
      <c r="AI84">
        <v>0.11899999999999999</v>
      </c>
      <c r="AJ84">
        <f t="shared" si="70"/>
        <v>-5.6999999999999995E-2</v>
      </c>
      <c r="AK84">
        <v>0.115</v>
      </c>
      <c r="AL84">
        <f t="shared" si="71"/>
        <v>-8.8000000000000009E-2</v>
      </c>
      <c r="AM84" s="1">
        <v>0.104</v>
      </c>
      <c r="AN84" s="2">
        <f t="shared" si="72"/>
        <v>-7.0000000000000062E-3</v>
      </c>
      <c r="AO84" s="1">
        <v>0.104</v>
      </c>
      <c r="AP84" s="2">
        <f t="shared" si="73"/>
        <v>-5.0000000000000044E-3</v>
      </c>
      <c r="AQ84" s="1">
        <v>0.106</v>
      </c>
      <c r="AR84" s="2">
        <f t="shared" si="74"/>
        <v>-6.0000000000000053E-3</v>
      </c>
      <c r="AS84" s="1">
        <v>0.114</v>
      </c>
      <c r="AT84" s="2">
        <f t="shared" si="75"/>
        <v>-8.2000000000000003E-2</v>
      </c>
      <c r="AU84" s="1">
        <v>0.11899999999999999</v>
      </c>
      <c r="AV84" s="2">
        <f t="shared" si="76"/>
        <v>-7.9000000000000015E-2</v>
      </c>
      <c r="AW84" s="1">
        <v>0.11899999999999999</v>
      </c>
      <c r="AX84" s="2">
        <f t="shared" si="77"/>
        <v>-8.6999999999999994E-2</v>
      </c>
      <c r="AY84" s="1">
        <v>0.13300000000000001</v>
      </c>
      <c r="AZ84">
        <f t="shared" si="78"/>
        <v>-7.5999999999999984E-2</v>
      </c>
      <c r="BA84" s="1">
        <v>0.158</v>
      </c>
      <c r="BB84">
        <f t="shared" si="79"/>
        <v>-4.7999999999999987E-2</v>
      </c>
      <c r="BC84" s="1">
        <v>0.14299999999999999</v>
      </c>
      <c r="BD84">
        <f t="shared" si="80"/>
        <v>-7.1000000000000008E-2</v>
      </c>
      <c r="BE84" s="1">
        <v>0.17100000000000001</v>
      </c>
      <c r="BF84">
        <f t="shared" si="81"/>
        <v>-4.5999999999999985E-2</v>
      </c>
      <c r="BG84" s="1">
        <v>0.17599999999999999</v>
      </c>
      <c r="BH84">
        <f t="shared" si="82"/>
        <v>-2.8999999999999998E-2</v>
      </c>
      <c r="BI84" s="1">
        <v>0.16400000000000001</v>
      </c>
      <c r="BJ84">
        <f t="shared" si="83"/>
        <v>-4.1999999999999982E-2</v>
      </c>
      <c r="BK84" s="1">
        <v>0.20499999999999999</v>
      </c>
      <c r="BL84">
        <f t="shared" si="84"/>
        <v>-1.4000000000000012E-2</v>
      </c>
      <c r="BM84" s="1">
        <v>0.23499999999999999</v>
      </c>
      <c r="BN84">
        <f t="shared" si="85"/>
        <v>1.8999999999999989E-2</v>
      </c>
      <c r="BO84" s="1">
        <v>0.217</v>
      </c>
      <c r="BP84">
        <f t="shared" si="86"/>
        <v>-4.0000000000000036E-3</v>
      </c>
      <c r="BQ84">
        <v>0.24399999999999999</v>
      </c>
      <c r="BR84">
        <f t="shared" si="87"/>
        <v>2.4999999999999994E-2</v>
      </c>
      <c r="BS84">
        <v>0.27300000000000002</v>
      </c>
      <c r="BT84">
        <f t="shared" si="88"/>
        <v>7.1000000000000008E-2</v>
      </c>
      <c r="BU84">
        <v>0.25800000000000001</v>
      </c>
      <c r="BV84">
        <f t="shared" si="89"/>
        <v>3.4000000000000002E-2</v>
      </c>
      <c r="BW84" s="1">
        <v>0.105</v>
      </c>
      <c r="BX84" s="2">
        <f t="shared" si="90"/>
        <v>-5.4000000000000006E-2</v>
      </c>
      <c r="BY84" s="1">
        <v>0.1</v>
      </c>
      <c r="BZ84" s="2">
        <f t="shared" si="91"/>
        <v>-3.9999999999999897E-3</v>
      </c>
      <c r="CA84" s="1">
        <v>0.10199999999999999</v>
      </c>
      <c r="CB84" s="2">
        <f t="shared" si="92"/>
        <v>-0.38700000000000001</v>
      </c>
      <c r="CC84" s="1">
        <v>0.122</v>
      </c>
      <c r="CD84" s="2">
        <f t="shared" si="93"/>
        <v>-9.2999999999999999E-2</v>
      </c>
      <c r="CE84" s="1">
        <v>0.11799999999999999</v>
      </c>
      <c r="CF84" s="2">
        <f t="shared" si="94"/>
        <v>-6.4000000000000001E-2</v>
      </c>
      <c r="CG84" s="1">
        <v>0.125</v>
      </c>
      <c r="CH84" s="2">
        <f t="shared" si="95"/>
        <v>-6.6000000000000003E-2</v>
      </c>
      <c r="CI84" s="1">
        <v>0.151</v>
      </c>
      <c r="CJ84">
        <f t="shared" si="96"/>
        <v>-5.8999999999999997E-2</v>
      </c>
      <c r="CK84" s="1">
        <v>0.152</v>
      </c>
      <c r="CL84">
        <f t="shared" si="97"/>
        <v>-4.300000000000001E-2</v>
      </c>
      <c r="CM84" s="1">
        <v>0.126</v>
      </c>
      <c r="CN84">
        <f t="shared" si="98"/>
        <v>-8.0999999999999989E-2</v>
      </c>
      <c r="CO84" s="1">
        <v>0.192</v>
      </c>
      <c r="CP84">
        <f t="shared" si="99"/>
        <v>-2.4999999999999994E-2</v>
      </c>
      <c r="CQ84" s="1">
        <v>0.18</v>
      </c>
      <c r="CR84">
        <f t="shared" si="100"/>
        <v>-1.9000000000000017E-2</v>
      </c>
      <c r="CS84" s="1">
        <v>0.17499999999999999</v>
      </c>
      <c r="CT84">
        <f t="shared" si="101"/>
        <v>-2.5000000000000022E-2</v>
      </c>
      <c r="CU84" s="1">
        <v>0.22</v>
      </c>
      <c r="CV84">
        <f t="shared" si="102"/>
        <v>0</v>
      </c>
      <c r="CW84" s="1">
        <v>0.20300000000000001</v>
      </c>
      <c r="CX84">
        <f t="shared" si="103"/>
        <v>-2.9999999999999749E-3</v>
      </c>
      <c r="CY84" s="1">
        <v>0.2</v>
      </c>
      <c r="CZ84">
        <f t="shared" si="104"/>
        <v>-7.9999999999999793E-3</v>
      </c>
      <c r="DA84">
        <v>0.215</v>
      </c>
      <c r="DB84">
        <f t="shared" si="105"/>
        <v>-1.0000000000000009E-3</v>
      </c>
      <c r="DC84">
        <v>0.24299999999999999</v>
      </c>
      <c r="DD84">
        <f t="shared" si="106"/>
        <v>3.999999999999998E-2</v>
      </c>
      <c r="DE84">
        <v>0.216</v>
      </c>
      <c r="DF84">
        <f t="shared" si="107"/>
        <v>1.100000000000001E-2</v>
      </c>
    </row>
    <row r="85" spans="1:110">
      <c r="A85" t="s">
        <v>221</v>
      </c>
      <c r="B85" t="s">
        <v>222</v>
      </c>
      <c r="C85" s="1">
        <v>0.14699999999999999</v>
      </c>
      <c r="D85" s="1">
        <f t="shared" si="54"/>
        <v>2.2999999999999993E-2</v>
      </c>
      <c r="E85" s="1">
        <v>0.26800000000000002</v>
      </c>
      <c r="F85">
        <f t="shared" si="55"/>
        <v>0.15000000000000002</v>
      </c>
      <c r="G85" s="1">
        <v>0.17899999999999999</v>
      </c>
      <c r="H85">
        <f t="shared" si="56"/>
        <v>4.4999999999999984E-2</v>
      </c>
      <c r="I85" s="1">
        <v>0.505</v>
      </c>
      <c r="J85">
        <f t="shared" si="57"/>
        <v>0.33300000000000002</v>
      </c>
      <c r="K85" s="1">
        <v>0.59399999999999997</v>
      </c>
      <c r="L85">
        <f t="shared" si="58"/>
        <v>0.41799999999999998</v>
      </c>
      <c r="M85" s="1">
        <v>0.53400000000000003</v>
      </c>
      <c r="N85">
        <f t="shared" si="59"/>
        <v>0.36699999999999999</v>
      </c>
      <c r="O85" s="1">
        <v>0.876</v>
      </c>
      <c r="P85">
        <f t="shared" si="60"/>
        <v>0.70899999999999996</v>
      </c>
      <c r="Q85" s="1">
        <v>0.88</v>
      </c>
      <c r="R85">
        <f t="shared" si="61"/>
        <v>0.70899999999999996</v>
      </c>
      <c r="S85" s="1">
        <v>0.82099999999999995</v>
      </c>
      <c r="T85">
        <f t="shared" si="62"/>
        <v>0.625</v>
      </c>
      <c r="U85" s="1">
        <v>0.95499999999999996</v>
      </c>
      <c r="V85">
        <f t="shared" si="63"/>
        <v>0.7649999999999999</v>
      </c>
      <c r="W85" s="1">
        <v>0.88500000000000001</v>
      </c>
      <c r="X85">
        <f t="shared" si="64"/>
        <v>0.70100000000000007</v>
      </c>
      <c r="Y85" s="1">
        <v>0.81699999999999995</v>
      </c>
      <c r="Z85">
        <f t="shared" si="65"/>
        <v>0.59</v>
      </c>
      <c r="AA85" s="1">
        <v>0.91400000000000003</v>
      </c>
      <c r="AB85">
        <f t="shared" si="66"/>
        <v>0.72199999999999998</v>
      </c>
      <c r="AC85" s="1">
        <v>0.872</v>
      </c>
      <c r="AD85">
        <f t="shared" si="67"/>
        <v>0.69700000000000006</v>
      </c>
      <c r="AE85" s="1">
        <v>0.73199999999999998</v>
      </c>
      <c r="AF85">
        <f t="shared" si="68"/>
        <v>0.51600000000000001</v>
      </c>
      <c r="AG85">
        <v>0.86699999999999999</v>
      </c>
      <c r="AH85">
        <f t="shared" si="69"/>
        <v>0.70299999999999996</v>
      </c>
      <c r="AI85">
        <v>0.81799999999999995</v>
      </c>
      <c r="AJ85">
        <f t="shared" si="70"/>
        <v>0.6419999999999999</v>
      </c>
      <c r="AK85">
        <v>0.70399999999999996</v>
      </c>
      <c r="AL85">
        <f t="shared" si="71"/>
        <v>0.50099999999999989</v>
      </c>
      <c r="AM85" s="1">
        <v>0.13</v>
      </c>
      <c r="AN85" s="2">
        <f t="shared" si="72"/>
        <v>1.9000000000000003E-2</v>
      </c>
      <c r="AO85" s="1">
        <v>0.13600000000000001</v>
      </c>
      <c r="AP85" s="2">
        <f t="shared" si="73"/>
        <v>2.700000000000001E-2</v>
      </c>
      <c r="AQ85" s="1">
        <v>0.16700000000000001</v>
      </c>
      <c r="AR85" s="2">
        <f t="shared" si="74"/>
        <v>5.5000000000000007E-2</v>
      </c>
      <c r="AS85" s="1">
        <v>0.52</v>
      </c>
      <c r="AT85" s="2">
        <f t="shared" si="75"/>
        <v>0.32400000000000001</v>
      </c>
      <c r="AU85" s="1">
        <v>0.59899999999999998</v>
      </c>
      <c r="AV85" s="2">
        <f t="shared" si="76"/>
        <v>0.40099999999999997</v>
      </c>
      <c r="AW85" s="1">
        <v>0.60499999999999998</v>
      </c>
      <c r="AX85" s="2">
        <f t="shared" si="77"/>
        <v>0.39900000000000002</v>
      </c>
      <c r="AY85" s="1">
        <v>0.84399999999999997</v>
      </c>
      <c r="AZ85">
        <f t="shared" si="78"/>
        <v>0.63500000000000001</v>
      </c>
      <c r="BA85" s="1">
        <v>0.86899999999999999</v>
      </c>
      <c r="BB85">
        <f t="shared" si="79"/>
        <v>0.66300000000000003</v>
      </c>
      <c r="BC85" s="1">
        <v>0.84199999999999997</v>
      </c>
      <c r="BD85">
        <f t="shared" si="80"/>
        <v>0.628</v>
      </c>
      <c r="BE85" s="1">
        <v>0.91400000000000003</v>
      </c>
      <c r="BF85">
        <f t="shared" si="81"/>
        <v>0.69700000000000006</v>
      </c>
      <c r="BG85" s="1">
        <v>0.92300000000000004</v>
      </c>
      <c r="BH85">
        <f t="shared" si="82"/>
        <v>0.71800000000000008</v>
      </c>
      <c r="BI85" s="1">
        <v>0.89200000000000002</v>
      </c>
      <c r="BJ85">
        <f t="shared" si="83"/>
        <v>0.68600000000000005</v>
      </c>
      <c r="BK85" s="1">
        <v>0.94199999999999995</v>
      </c>
      <c r="BL85">
        <f t="shared" si="84"/>
        <v>0.72299999999999998</v>
      </c>
      <c r="BM85" s="1">
        <v>0.94799999999999995</v>
      </c>
      <c r="BN85">
        <f t="shared" si="85"/>
        <v>0.73199999999999998</v>
      </c>
      <c r="BO85" s="1">
        <v>0.93300000000000005</v>
      </c>
      <c r="BP85">
        <f t="shared" si="86"/>
        <v>0.71200000000000008</v>
      </c>
      <c r="BQ85">
        <v>0.95599999999999996</v>
      </c>
      <c r="BR85">
        <f t="shared" si="87"/>
        <v>0.73699999999999999</v>
      </c>
      <c r="BS85">
        <v>0.96399999999999997</v>
      </c>
      <c r="BT85">
        <f t="shared" si="88"/>
        <v>0.76200000000000001</v>
      </c>
      <c r="BU85">
        <v>0.94899999999999995</v>
      </c>
      <c r="BV85">
        <f t="shared" si="89"/>
        <v>0.72499999999999998</v>
      </c>
      <c r="BW85" s="1">
        <v>0.13900000000000001</v>
      </c>
      <c r="BX85" s="2">
        <f t="shared" si="90"/>
        <v>-1.999999999999999E-2</v>
      </c>
      <c r="BY85" s="1">
        <v>0.11799999999999999</v>
      </c>
      <c r="BZ85" s="2">
        <f t="shared" si="91"/>
        <v>1.3999999999999999E-2</v>
      </c>
      <c r="CA85" s="1">
        <v>0.2</v>
      </c>
      <c r="CB85" s="2">
        <f t="shared" si="92"/>
        <v>-0.28899999999999998</v>
      </c>
      <c r="CC85" s="1">
        <v>0.53</v>
      </c>
      <c r="CD85" s="2">
        <f t="shared" si="93"/>
        <v>0.31500000000000006</v>
      </c>
      <c r="CE85" s="1">
        <v>0.48599999999999999</v>
      </c>
      <c r="CF85" s="2">
        <f t="shared" si="94"/>
        <v>0.30399999999999999</v>
      </c>
      <c r="CG85" s="1">
        <v>0.43</v>
      </c>
      <c r="CH85" s="2">
        <f t="shared" si="95"/>
        <v>0.23899999999999999</v>
      </c>
      <c r="CI85" s="1">
        <v>0.85399999999999998</v>
      </c>
      <c r="CJ85">
        <f t="shared" si="96"/>
        <v>0.64400000000000002</v>
      </c>
      <c r="CK85" s="1">
        <v>0.82299999999999995</v>
      </c>
      <c r="CL85">
        <f t="shared" si="97"/>
        <v>0.62799999999999989</v>
      </c>
      <c r="CM85" s="1">
        <v>0.75800000000000001</v>
      </c>
      <c r="CN85">
        <f t="shared" si="98"/>
        <v>0.55100000000000005</v>
      </c>
      <c r="CO85" s="1">
        <v>0.92400000000000004</v>
      </c>
      <c r="CP85">
        <f t="shared" si="99"/>
        <v>0.70700000000000007</v>
      </c>
      <c r="CQ85" s="1">
        <v>0.90700000000000003</v>
      </c>
      <c r="CR85">
        <f t="shared" si="100"/>
        <v>0.70799999999999996</v>
      </c>
      <c r="CS85" s="1">
        <v>0.88700000000000001</v>
      </c>
      <c r="CT85">
        <f t="shared" si="101"/>
        <v>0.68700000000000006</v>
      </c>
      <c r="CU85" s="1">
        <v>0.94599999999999995</v>
      </c>
      <c r="CV85">
        <f t="shared" si="102"/>
        <v>0.72599999999999998</v>
      </c>
      <c r="CW85" s="1">
        <v>0.92600000000000005</v>
      </c>
      <c r="CX85">
        <f t="shared" si="103"/>
        <v>0.72000000000000008</v>
      </c>
      <c r="CY85" s="1">
        <v>0.91300000000000003</v>
      </c>
      <c r="CZ85">
        <f t="shared" si="104"/>
        <v>0.70500000000000007</v>
      </c>
      <c r="DA85">
        <v>0.97</v>
      </c>
      <c r="DB85">
        <f t="shared" si="105"/>
        <v>0.754</v>
      </c>
      <c r="DC85">
        <v>0.94799999999999995</v>
      </c>
      <c r="DD85">
        <f t="shared" si="106"/>
        <v>0.74499999999999988</v>
      </c>
      <c r="DE85">
        <v>0.92700000000000005</v>
      </c>
      <c r="DF85">
        <f t="shared" si="107"/>
        <v>0.72200000000000009</v>
      </c>
    </row>
    <row r="86" spans="1:110">
      <c r="A86" t="s">
        <v>223</v>
      </c>
      <c r="B86" t="s">
        <v>224</v>
      </c>
      <c r="C86" s="1">
        <v>0.104</v>
      </c>
      <c r="D86" s="1">
        <f t="shared" si="54"/>
        <v>-2.0000000000000004E-2</v>
      </c>
      <c r="E86" s="1">
        <v>0.1</v>
      </c>
      <c r="F86">
        <f t="shared" si="55"/>
        <v>-1.7999999999999988E-2</v>
      </c>
      <c r="G86" s="1">
        <v>0.13200000000000001</v>
      </c>
      <c r="H86">
        <f t="shared" si="56"/>
        <v>-2.0000000000000018E-3</v>
      </c>
      <c r="I86" s="1">
        <v>0.18099999999999999</v>
      </c>
      <c r="J86">
        <f t="shared" si="57"/>
        <v>9.000000000000008E-3</v>
      </c>
      <c r="K86" s="1">
        <v>0.16600000000000001</v>
      </c>
      <c r="L86">
        <f t="shared" si="58"/>
        <v>-9.9999999999999811E-3</v>
      </c>
      <c r="M86" s="1">
        <v>0.17399999999999999</v>
      </c>
      <c r="N86">
        <f t="shared" si="59"/>
        <v>6.9999999999999785E-3</v>
      </c>
      <c r="O86" s="1">
        <v>0.14899999999999999</v>
      </c>
      <c r="P86">
        <f t="shared" si="60"/>
        <v>-1.8000000000000016E-2</v>
      </c>
      <c r="Q86" s="1">
        <v>0.14899999999999999</v>
      </c>
      <c r="R86">
        <f t="shared" si="61"/>
        <v>-2.200000000000002E-2</v>
      </c>
      <c r="S86" s="1">
        <v>0.154</v>
      </c>
      <c r="T86">
        <f t="shared" si="62"/>
        <v>-4.200000000000001E-2</v>
      </c>
      <c r="U86" s="1">
        <v>0.159</v>
      </c>
      <c r="V86">
        <f t="shared" si="63"/>
        <v>-3.1E-2</v>
      </c>
      <c r="W86" s="1">
        <v>0.15</v>
      </c>
      <c r="X86">
        <f t="shared" si="64"/>
        <v>-3.4000000000000002E-2</v>
      </c>
      <c r="Y86" s="1">
        <v>0.16200000000000001</v>
      </c>
      <c r="Z86">
        <f t="shared" si="65"/>
        <v>-6.5000000000000002E-2</v>
      </c>
      <c r="AA86" s="1">
        <v>0.17</v>
      </c>
      <c r="AB86">
        <f t="shared" si="66"/>
        <v>-2.1999999999999992E-2</v>
      </c>
      <c r="AC86" s="1">
        <v>0.16800000000000001</v>
      </c>
      <c r="AD86">
        <f t="shared" si="67"/>
        <v>-6.9999999999999785E-3</v>
      </c>
      <c r="AE86" s="1">
        <v>0.17199999999999999</v>
      </c>
      <c r="AF86">
        <f t="shared" si="68"/>
        <v>-4.4000000000000011E-2</v>
      </c>
      <c r="AG86">
        <v>0.17100000000000001</v>
      </c>
      <c r="AH86">
        <f t="shared" si="69"/>
        <v>7.0000000000000062E-3</v>
      </c>
      <c r="AI86">
        <v>0.17499999999999999</v>
      </c>
      <c r="AJ86">
        <f t="shared" si="70"/>
        <v>-1.0000000000000009E-3</v>
      </c>
      <c r="AK86">
        <v>0.17599999999999999</v>
      </c>
      <c r="AL86">
        <f t="shared" si="71"/>
        <v>-2.7000000000000024E-2</v>
      </c>
      <c r="AM86" s="1">
        <v>9.8000000000000004E-2</v>
      </c>
      <c r="AN86" s="2">
        <f t="shared" si="72"/>
        <v>-1.2999999999999998E-2</v>
      </c>
      <c r="AO86" s="1">
        <v>0.10100000000000001</v>
      </c>
      <c r="AP86" s="2">
        <f t="shared" si="73"/>
        <v>-7.9999999999999932E-3</v>
      </c>
      <c r="AQ86" s="1">
        <v>0.16600000000000001</v>
      </c>
      <c r="AR86" s="2">
        <f t="shared" si="74"/>
        <v>5.4000000000000006E-2</v>
      </c>
      <c r="AS86" s="1">
        <v>0.20799999999999999</v>
      </c>
      <c r="AT86" s="2">
        <f t="shared" si="75"/>
        <v>1.1999999999999983E-2</v>
      </c>
      <c r="AU86" s="1">
        <v>0.216</v>
      </c>
      <c r="AV86" s="2">
        <f t="shared" si="76"/>
        <v>1.7999999999999988E-2</v>
      </c>
      <c r="AW86" s="1">
        <v>0.221</v>
      </c>
      <c r="AX86" s="2">
        <f t="shared" si="77"/>
        <v>1.5000000000000013E-2</v>
      </c>
      <c r="AY86" s="1">
        <v>0.21299999999999999</v>
      </c>
      <c r="AZ86">
        <f t="shared" si="78"/>
        <v>4.0000000000000036E-3</v>
      </c>
      <c r="BA86" s="1">
        <v>0.216</v>
      </c>
      <c r="BB86">
        <f t="shared" si="79"/>
        <v>1.0000000000000009E-2</v>
      </c>
      <c r="BC86" s="1">
        <v>0.217</v>
      </c>
      <c r="BD86">
        <f t="shared" si="80"/>
        <v>3.0000000000000027E-3</v>
      </c>
      <c r="BE86" s="1">
        <v>0.218</v>
      </c>
      <c r="BF86">
        <f t="shared" si="81"/>
        <v>1.0000000000000009E-3</v>
      </c>
      <c r="BG86" s="1">
        <v>0.21099999999999999</v>
      </c>
      <c r="BH86">
        <f t="shared" si="82"/>
        <v>6.0000000000000053E-3</v>
      </c>
      <c r="BI86" s="1">
        <v>0.20799999999999999</v>
      </c>
      <c r="BJ86">
        <f t="shared" si="83"/>
        <v>2.0000000000000018E-3</v>
      </c>
      <c r="BK86" s="1">
        <v>0.22900000000000001</v>
      </c>
      <c r="BL86">
        <f t="shared" si="84"/>
        <v>1.0000000000000009E-2</v>
      </c>
      <c r="BM86" s="1">
        <v>0.223</v>
      </c>
      <c r="BN86">
        <f t="shared" si="85"/>
        <v>7.0000000000000062E-3</v>
      </c>
      <c r="BO86" s="1">
        <v>0.22</v>
      </c>
      <c r="BP86">
        <f t="shared" si="86"/>
        <v>-1.0000000000000009E-3</v>
      </c>
      <c r="BQ86">
        <v>0.22600000000000001</v>
      </c>
      <c r="BR86">
        <f t="shared" si="87"/>
        <v>7.0000000000000062E-3</v>
      </c>
      <c r="BS86">
        <v>0.22800000000000001</v>
      </c>
      <c r="BT86">
        <f t="shared" si="88"/>
        <v>2.5999999999999995E-2</v>
      </c>
      <c r="BU86">
        <v>0.22700000000000001</v>
      </c>
      <c r="BV86">
        <f t="shared" si="89"/>
        <v>3.0000000000000027E-3</v>
      </c>
      <c r="BW86" s="1">
        <v>0.108</v>
      </c>
      <c r="BX86" s="2">
        <f t="shared" si="90"/>
        <v>-5.1000000000000004E-2</v>
      </c>
      <c r="BY86" s="1">
        <v>9.5000000000000001E-2</v>
      </c>
      <c r="BZ86" s="2">
        <f t="shared" si="91"/>
        <v>-8.9999999999999941E-3</v>
      </c>
      <c r="CA86" s="1">
        <v>0.183</v>
      </c>
      <c r="CB86" s="2">
        <f t="shared" si="92"/>
        <v>-0.30599999999999999</v>
      </c>
      <c r="CC86" s="1">
        <v>0.21299999999999999</v>
      </c>
      <c r="CD86" s="2">
        <f t="shared" si="93"/>
        <v>-2.0000000000000018E-3</v>
      </c>
      <c r="CE86" s="1">
        <v>0.17599999999999999</v>
      </c>
      <c r="CF86" s="2">
        <f t="shared" si="94"/>
        <v>-6.0000000000000053E-3</v>
      </c>
      <c r="CG86" s="1">
        <v>0.26200000000000001</v>
      </c>
      <c r="CH86" s="2">
        <f t="shared" si="95"/>
        <v>7.1000000000000008E-2</v>
      </c>
      <c r="CI86" s="1">
        <v>0.221</v>
      </c>
      <c r="CJ86">
        <f t="shared" si="96"/>
        <v>1.100000000000001E-2</v>
      </c>
      <c r="CK86" s="1">
        <v>0.187</v>
      </c>
      <c r="CL86">
        <f t="shared" si="97"/>
        <v>-8.0000000000000071E-3</v>
      </c>
      <c r="CM86" s="1">
        <v>0.224</v>
      </c>
      <c r="CN86">
        <f t="shared" si="98"/>
        <v>1.7000000000000015E-2</v>
      </c>
      <c r="CO86" s="1">
        <v>0.221</v>
      </c>
      <c r="CP86">
        <f t="shared" si="99"/>
        <v>4.0000000000000036E-3</v>
      </c>
      <c r="CQ86" s="1">
        <v>0.184</v>
      </c>
      <c r="CR86">
        <f t="shared" si="100"/>
        <v>-1.5000000000000013E-2</v>
      </c>
      <c r="CS86" s="1">
        <v>0.223</v>
      </c>
      <c r="CT86">
        <f t="shared" si="101"/>
        <v>2.2999999999999993E-2</v>
      </c>
      <c r="CU86" s="1">
        <v>0.22700000000000001</v>
      </c>
      <c r="CV86">
        <f t="shared" si="102"/>
        <v>7.0000000000000062E-3</v>
      </c>
      <c r="CW86" s="1">
        <v>0.192</v>
      </c>
      <c r="CX86">
        <f t="shared" si="103"/>
        <v>-1.3999999999999985E-2</v>
      </c>
      <c r="CY86" s="1">
        <v>0.23</v>
      </c>
      <c r="CZ86">
        <f t="shared" si="104"/>
        <v>2.200000000000002E-2</v>
      </c>
      <c r="DA86">
        <v>0.22800000000000001</v>
      </c>
      <c r="DB86">
        <f t="shared" si="105"/>
        <v>1.2000000000000011E-2</v>
      </c>
      <c r="DC86">
        <v>0.19</v>
      </c>
      <c r="DD86">
        <f t="shared" si="106"/>
        <v>-1.3000000000000012E-2</v>
      </c>
      <c r="DE86">
        <v>0.22600000000000001</v>
      </c>
      <c r="DF86">
        <f t="shared" si="107"/>
        <v>2.1000000000000019E-2</v>
      </c>
    </row>
    <row r="87" spans="1:110">
      <c r="A87" t="s">
        <v>225</v>
      </c>
      <c r="B87" t="s">
        <v>226</v>
      </c>
      <c r="C87" s="1">
        <v>9.6000000000000002E-2</v>
      </c>
      <c r="D87" s="1">
        <f t="shared" si="54"/>
        <v>-2.7999999999999997E-2</v>
      </c>
      <c r="E87" s="1">
        <v>0.1</v>
      </c>
      <c r="F87">
        <f t="shared" si="55"/>
        <v>-1.7999999999999988E-2</v>
      </c>
      <c r="G87" s="1">
        <v>9.9000000000000005E-2</v>
      </c>
      <c r="H87">
        <f t="shared" si="56"/>
        <v>-3.5000000000000003E-2</v>
      </c>
      <c r="I87" s="1">
        <v>0.17899999999999999</v>
      </c>
      <c r="J87">
        <f t="shared" si="57"/>
        <v>7.0000000000000062E-3</v>
      </c>
      <c r="K87" s="1">
        <v>0.16200000000000001</v>
      </c>
      <c r="L87">
        <f t="shared" si="58"/>
        <v>-1.3999999999999985E-2</v>
      </c>
      <c r="M87" s="1">
        <v>0.17199999999999999</v>
      </c>
      <c r="N87">
        <f t="shared" si="59"/>
        <v>4.9999999999999767E-3</v>
      </c>
      <c r="O87" s="1">
        <v>0.153</v>
      </c>
      <c r="P87">
        <f t="shared" si="60"/>
        <v>-1.4000000000000012E-2</v>
      </c>
      <c r="Q87" s="1">
        <v>0.14199999999999999</v>
      </c>
      <c r="R87">
        <f t="shared" si="61"/>
        <v>-2.9000000000000026E-2</v>
      </c>
      <c r="S87" s="1">
        <v>0.151</v>
      </c>
      <c r="T87">
        <f t="shared" si="62"/>
        <v>-4.5000000000000012E-2</v>
      </c>
      <c r="U87" s="1">
        <v>0.158</v>
      </c>
      <c r="V87">
        <f t="shared" si="63"/>
        <v>-3.2000000000000001E-2</v>
      </c>
      <c r="W87" s="1">
        <v>0.157</v>
      </c>
      <c r="X87">
        <f t="shared" si="64"/>
        <v>-2.6999999999999996E-2</v>
      </c>
      <c r="Y87" s="1">
        <v>0.16500000000000001</v>
      </c>
      <c r="Z87">
        <f t="shared" si="65"/>
        <v>-6.2E-2</v>
      </c>
      <c r="AA87" s="1">
        <v>0.161</v>
      </c>
      <c r="AB87">
        <f t="shared" si="66"/>
        <v>-3.1E-2</v>
      </c>
      <c r="AC87" s="1">
        <v>0.158</v>
      </c>
      <c r="AD87">
        <f t="shared" si="67"/>
        <v>-1.6999999999999987E-2</v>
      </c>
      <c r="AE87" s="1">
        <v>0.16700000000000001</v>
      </c>
      <c r="AF87">
        <f t="shared" si="68"/>
        <v>-4.8999999999999988E-2</v>
      </c>
      <c r="AG87">
        <v>0.16400000000000001</v>
      </c>
      <c r="AH87">
        <f t="shared" si="69"/>
        <v>0</v>
      </c>
      <c r="AI87">
        <v>0.153</v>
      </c>
      <c r="AJ87">
        <f t="shared" si="70"/>
        <v>-2.2999999999999993E-2</v>
      </c>
      <c r="AK87">
        <v>0.16600000000000001</v>
      </c>
      <c r="AL87">
        <f t="shared" si="71"/>
        <v>-3.7000000000000005E-2</v>
      </c>
      <c r="AM87" s="1">
        <v>9.7000000000000003E-2</v>
      </c>
      <c r="AN87" s="2">
        <f t="shared" si="72"/>
        <v>-1.3999999999999999E-2</v>
      </c>
      <c r="AO87" s="1">
        <v>9.9000000000000005E-2</v>
      </c>
      <c r="AP87" s="2">
        <f t="shared" si="73"/>
        <v>-9.999999999999995E-3</v>
      </c>
      <c r="AQ87" s="1">
        <v>0.13500000000000001</v>
      </c>
      <c r="AR87" s="2">
        <f t="shared" si="74"/>
        <v>2.3000000000000007E-2</v>
      </c>
      <c r="AS87" s="1">
        <v>0.20499999999999999</v>
      </c>
      <c r="AT87" s="2">
        <f t="shared" si="75"/>
        <v>8.9999999999999802E-3</v>
      </c>
      <c r="AU87" s="1">
        <v>0.20799999999999999</v>
      </c>
      <c r="AV87" s="2">
        <f t="shared" si="76"/>
        <v>9.9999999999999811E-3</v>
      </c>
      <c r="AW87" s="1">
        <v>0.20899999999999999</v>
      </c>
      <c r="AX87" s="2">
        <f t="shared" si="77"/>
        <v>3.0000000000000027E-3</v>
      </c>
      <c r="AY87" s="1">
        <v>0.20100000000000001</v>
      </c>
      <c r="AZ87">
        <f t="shared" si="78"/>
        <v>-7.9999999999999793E-3</v>
      </c>
      <c r="BA87" s="1">
        <v>0.20899999999999999</v>
      </c>
      <c r="BB87">
        <f t="shared" si="79"/>
        <v>3.0000000000000027E-3</v>
      </c>
      <c r="BC87" s="1">
        <v>0.2</v>
      </c>
      <c r="BD87">
        <f t="shared" si="80"/>
        <v>-1.3999999999999985E-2</v>
      </c>
      <c r="BE87" s="1">
        <v>0.20399999999999999</v>
      </c>
      <c r="BF87">
        <f t="shared" si="81"/>
        <v>-1.3000000000000012E-2</v>
      </c>
      <c r="BG87" s="1">
        <v>0.21199999999999999</v>
      </c>
      <c r="BH87">
        <f t="shared" si="82"/>
        <v>7.0000000000000062E-3</v>
      </c>
      <c r="BI87" s="1">
        <v>0.19700000000000001</v>
      </c>
      <c r="BJ87">
        <f t="shared" si="83"/>
        <v>-8.9999999999999802E-3</v>
      </c>
      <c r="BK87" s="1">
        <v>0.20200000000000001</v>
      </c>
      <c r="BL87">
        <f t="shared" si="84"/>
        <v>-1.6999999999999987E-2</v>
      </c>
      <c r="BM87" s="1">
        <v>0.21099999999999999</v>
      </c>
      <c r="BN87">
        <f t="shared" si="85"/>
        <v>-5.0000000000000044E-3</v>
      </c>
      <c r="BO87" s="1">
        <v>0.21099999999999999</v>
      </c>
      <c r="BP87">
        <f t="shared" si="86"/>
        <v>-1.0000000000000009E-2</v>
      </c>
      <c r="BQ87">
        <v>0.21099999999999999</v>
      </c>
      <c r="BR87">
        <f t="shared" si="87"/>
        <v>-8.0000000000000071E-3</v>
      </c>
      <c r="BS87">
        <v>0.214</v>
      </c>
      <c r="BT87">
        <f t="shared" si="88"/>
        <v>1.1999999999999983E-2</v>
      </c>
      <c r="BU87">
        <v>0.215</v>
      </c>
      <c r="BV87">
        <f t="shared" si="89"/>
        <v>-9.000000000000008E-3</v>
      </c>
      <c r="BW87" s="1">
        <v>0.10299999999999999</v>
      </c>
      <c r="BX87" s="2">
        <f t="shared" si="90"/>
        <v>-5.6000000000000008E-2</v>
      </c>
      <c r="BY87" s="1">
        <v>9.4E-2</v>
      </c>
      <c r="BZ87" s="2">
        <f t="shared" si="91"/>
        <v>-9.999999999999995E-3</v>
      </c>
      <c r="CA87" s="1">
        <v>0.13500000000000001</v>
      </c>
      <c r="CB87" s="2">
        <f t="shared" si="92"/>
        <v>-0.35399999999999998</v>
      </c>
      <c r="CC87" s="1">
        <v>0.20899999999999999</v>
      </c>
      <c r="CD87" s="2">
        <f t="shared" si="93"/>
        <v>-6.0000000000000053E-3</v>
      </c>
      <c r="CE87" s="1">
        <v>0.20100000000000001</v>
      </c>
      <c r="CF87" s="2">
        <f t="shared" si="94"/>
        <v>1.9000000000000017E-2</v>
      </c>
      <c r="CG87" s="1">
        <v>0.26200000000000001</v>
      </c>
      <c r="CH87" s="2">
        <f t="shared" si="95"/>
        <v>7.1000000000000008E-2</v>
      </c>
      <c r="CI87" s="1">
        <v>0.21299999999999999</v>
      </c>
      <c r="CJ87">
        <f t="shared" si="96"/>
        <v>3.0000000000000027E-3</v>
      </c>
      <c r="CK87" s="1">
        <v>0.19900000000000001</v>
      </c>
      <c r="CL87">
        <f t="shared" si="97"/>
        <v>4.0000000000000036E-3</v>
      </c>
      <c r="CM87" s="1">
        <v>0.219</v>
      </c>
      <c r="CN87">
        <f t="shared" si="98"/>
        <v>1.2000000000000011E-2</v>
      </c>
      <c r="CO87" s="1">
        <v>0.21199999999999999</v>
      </c>
      <c r="CP87">
        <f t="shared" si="99"/>
        <v>-5.0000000000000044E-3</v>
      </c>
      <c r="CQ87" s="1">
        <v>0.20200000000000001</v>
      </c>
      <c r="CR87">
        <f t="shared" si="100"/>
        <v>3.0000000000000027E-3</v>
      </c>
      <c r="CS87" s="1">
        <v>0.222</v>
      </c>
      <c r="CT87">
        <f t="shared" si="101"/>
        <v>2.1999999999999992E-2</v>
      </c>
      <c r="CU87" s="1">
        <v>0.21299999999999999</v>
      </c>
      <c r="CV87">
        <f t="shared" si="102"/>
        <v>-7.0000000000000062E-3</v>
      </c>
      <c r="CW87" s="1">
        <v>0.19900000000000001</v>
      </c>
      <c r="CX87">
        <f t="shared" si="103"/>
        <v>-6.9999999999999785E-3</v>
      </c>
      <c r="CY87" s="1">
        <v>0.22800000000000001</v>
      </c>
      <c r="CZ87">
        <f t="shared" si="104"/>
        <v>2.0000000000000018E-2</v>
      </c>
      <c r="DA87">
        <v>0.21</v>
      </c>
      <c r="DB87">
        <f t="shared" si="105"/>
        <v>-6.0000000000000053E-3</v>
      </c>
      <c r="DC87">
        <v>0.2</v>
      </c>
      <c r="DD87">
        <f t="shared" si="106"/>
        <v>-3.0000000000000027E-3</v>
      </c>
      <c r="DE87">
        <v>0.23799999999999999</v>
      </c>
      <c r="DF87">
        <f t="shared" si="107"/>
        <v>3.3000000000000002E-2</v>
      </c>
    </row>
    <row r="88" spans="1:110">
      <c r="A88" t="s">
        <v>227</v>
      </c>
      <c r="B88" t="s">
        <v>228</v>
      </c>
      <c r="C88" s="1">
        <v>0.106</v>
      </c>
      <c r="D88" s="1">
        <f t="shared" si="54"/>
        <v>-1.8000000000000002E-2</v>
      </c>
      <c r="E88" s="1">
        <v>0.108</v>
      </c>
      <c r="F88">
        <f t="shared" si="55"/>
        <v>-9.999999999999995E-3</v>
      </c>
      <c r="G88" s="1">
        <v>9.6000000000000002E-2</v>
      </c>
      <c r="H88">
        <f t="shared" si="56"/>
        <v>-3.8000000000000006E-2</v>
      </c>
      <c r="I88" s="1">
        <v>0.22800000000000001</v>
      </c>
      <c r="J88">
        <f t="shared" si="57"/>
        <v>5.6000000000000022E-2</v>
      </c>
      <c r="K88" s="1">
        <v>0.193</v>
      </c>
      <c r="L88">
        <f t="shared" si="58"/>
        <v>1.7000000000000015E-2</v>
      </c>
      <c r="M88" s="1">
        <v>0.20200000000000001</v>
      </c>
      <c r="N88">
        <f t="shared" si="59"/>
        <v>3.5000000000000003E-2</v>
      </c>
      <c r="O88" s="1">
        <v>0.185</v>
      </c>
      <c r="P88">
        <f t="shared" si="60"/>
        <v>1.7999999999999988E-2</v>
      </c>
      <c r="Q88" s="1">
        <v>0.25700000000000001</v>
      </c>
      <c r="R88">
        <f t="shared" si="61"/>
        <v>8.5999999999999993E-2</v>
      </c>
      <c r="S88" s="1">
        <v>0.18</v>
      </c>
      <c r="T88">
        <f t="shared" si="62"/>
        <v>-1.6000000000000014E-2</v>
      </c>
      <c r="U88" s="1">
        <v>0.21099999999999999</v>
      </c>
      <c r="V88">
        <f t="shared" si="63"/>
        <v>2.0999999999999991E-2</v>
      </c>
      <c r="W88" s="1">
        <v>0.218</v>
      </c>
      <c r="X88">
        <f t="shared" si="64"/>
        <v>3.4000000000000002E-2</v>
      </c>
      <c r="Y88" s="1">
        <v>0.21199999999999999</v>
      </c>
      <c r="Z88">
        <f t="shared" si="65"/>
        <v>-1.5000000000000013E-2</v>
      </c>
      <c r="AA88" s="1">
        <v>0.23699999999999999</v>
      </c>
      <c r="AB88">
        <f t="shared" si="66"/>
        <v>4.4999999999999984E-2</v>
      </c>
      <c r="AC88" s="1">
        <v>0.24299999999999999</v>
      </c>
      <c r="AD88">
        <f t="shared" si="67"/>
        <v>6.8000000000000005E-2</v>
      </c>
      <c r="AE88" s="1">
        <v>0.219</v>
      </c>
      <c r="AF88">
        <f t="shared" si="68"/>
        <v>3.0000000000000027E-3</v>
      </c>
      <c r="AG88">
        <v>0.245</v>
      </c>
      <c r="AH88">
        <f t="shared" si="69"/>
        <v>8.0999999999999989E-2</v>
      </c>
      <c r="AI88">
        <v>0.253</v>
      </c>
      <c r="AJ88">
        <f t="shared" si="70"/>
        <v>7.7000000000000013E-2</v>
      </c>
      <c r="AK88">
        <v>0.223</v>
      </c>
      <c r="AL88">
        <f t="shared" si="71"/>
        <v>1.999999999999999E-2</v>
      </c>
      <c r="AM88" s="1">
        <v>9.9000000000000005E-2</v>
      </c>
      <c r="AN88" s="2">
        <f t="shared" si="72"/>
        <v>-1.1999999999999997E-2</v>
      </c>
      <c r="AO88" s="1">
        <v>0.1</v>
      </c>
      <c r="AP88" s="2">
        <f t="shared" si="73"/>
        <v>-8.9999999999999941E-3</v>
      </c>
      <c r="AQ88" s="1">
        <v>0.122</v>
      </c>
      <c r="AR88" s="2">
        <f t="shared" si="74"/>
        <v>9.999999999999995E-3</v>
      </c>
      <c r="AS88" s="1">
        <v>0.23</v>
      </c>
      <c r="AT88" s="2">
        <f t="shared" si="75"/>
        <v>3.4000000000000002E-2</v>
      </c>
      <c r="AU88" s="1">
        <v>0.26500000000000001</v>
      </c>
      <c r="AV88" s="2">
        <f t="shared" si="76"/>
        <v>6.7000000000000004E-2</v>
      </c>
      <c r="AW88" s="1">
        <v>0.249</v>
      </c>
      <c r="AX88" s="2">
        <f t="shared" si="77"/>
        <v>4.300000000000001E-2</v>
      </c>
      <c r="AY88" s="1">
        <v>0.254</v>
      </c>
      <c r="AZ88">
        <f t="shared" si="78"/>
        <v>4.5000000000000012E-2</v>
      </c>
      <c r="BA88" s="1">
        <v>0.27800000000000002</v>
      </c>
      <c r="BB88">
        <f t="shared" si="79"/>
        <v>7.2000000000000036E-2</v>
      </c>
      <c r="BC88" s="1">
        <v>0.25700000000000001</v>
      </c>
      <c r="BD88">
        <f t="shared" si="80"/>
        <v>4.300000000000001E-2</v>
      </c>
      <c r="BE88" s="1">
        <v>0.28000000000000003</v>
      </c>
      <c r="BF88">
        <f t="shared" si="81"/>
        <v>6.3000000000000028E-2</v>
      </c>
      <c r="BG88" s="1">
        <v>0.29299999999999998</v>
      </c>
      <c r="BH88">
        <f t="shared" si="82"/>
        <v>8.7999999999999995E-2</v>
      </c>
      <c r="BI88" s="1">
        <v>0.27100000000000002</v>
      </c>
      <c r="BJ88">
        <f t="shared" si="83"/>
        <v>6.500000000000003E-2</v>
      </c>
      <c r="BK88" s="1">
        <v>0.28199999999999997</v>
      </c>
      <c r="BL88">
        <f t="shared" si="84"/>
        <v>6.2999999999999973E-2</v>
      </c>
      <c r="BM88" s="1">
        <v>0.32</v>
      </c>
      <c r="BN88">
        <f t="shared" si="85"/>
        <v>0.10400000000000001</v>
      </c>
      <c r="BO88" s="1">
        <v>0.28599999999999998</v>
      </c>
      <c r="BP88">
        <f t="shared" si="86"/>
        <v>6.4999999999999974E-2</v>
      </c>
      <c r="BQ88">
        <v>0.29799999999999999</v>
      </c>
      <c r="BR88">
        <f t="shared" si="87"/>
        <v>7.8999999999999987E-2</v>
      </c>
      <c r="BS88">
        <v>0.33</v>
      </c>
      <c r="BT88">
        <f t="shared" si="88"/>
        <v>0.128</v>
      </c>
      <c r="BU88">
        <v>0.30099999999999999</v>
      </c>
      <c r="BV88">
        <f t="shared" si="89"/>
        <v>7.6999999999999985E-2</v>
      </c>
      <c r="BW88" s="1">
        <v>0.1</v>
      </c>
      <c r="BX88" s="2">
        <f t="shared" si="90"/>
        <v>-5.8999999999999997E-2</v>
      </c>
      <c r="BY88" s="1">
        <v>9.6000000000000002E-2</v>
      </c>
      <c r="BZ88" s="2">
        <f t="shared" si="91"/>
        <v>-7.9999999999999932E-3</v>
      </c>
      <c r="CA88" s="1">
        <v>0.17599999999999999</v>
      </c>
      <c r="CB88" s="2">
        <f t="shared" si="92"/>
        <v>-0.313</v>
      </c>
      <c r="CC88" s="1">
        <v>0.24</v>
      </c>
      <c r="CD88" s="2">
        <f t="shared" si="93"/>
        <v>2.4999999999999994E-2</v>
      </c>
      <c r="CE88" s="1">
        <v>0.22600000000000001</v>
      </c>
      <c r="CF88" s="2">
        <f t="shared" si="94"/>
        <v>4.4000000000000011E-2</v>
      </c>
      <c r="CG88" s="1">
        <v>0.26200000000000001</v>
      </c>
      <c r="CH88" s="2">
        <f t="shared" si="95"/>
        <v>7.1000000000000008E-2</v>
      </c>
      <c r="CI88" s="1">
        <v>0.255</v>
      </c>
      <c r="CJ88">
        <f t="shared" si="96"/>
        <v>4.5000000000000012E-2</v>
      </c>
      <c r="CK88" s="1">
        <v>0.23899999999999999</v>
      </c>
      <c r="CL88">
        <f t="shared" si="97"/>
        <v>4.3999999999999984E-2</v>
      </c>
      <c r="CM88" s="1">
        <v>0.23100000000000001</v>
      </c>
      <c r="CN88">
        <f t="shared" si="98"/>
        <v>2.4000000000000021E-2</v>
      </c>
      <c r="CO88" s="1">
        <v>0.26600000000000001</v>
      </c>
      <c r="CP88">
        <f t="shared" si="99"/>
        <v>4.9000000000000016E-2</v>
      </c>
      <c r="CQ88" s="1">
        <v>0.26</v>
      </c>
      <c r="CR88">
        <f t="shared" si="100"/>
        <v>6.0999999999999999E-2</v>
      </c>
      <c r="CS88" s="1">
        <v>0.254</v>
      </c>
      <c r="CT88">
        <f t="shared" si="101"/>
        <v>5.3999999999999992E-2</v>
      </c>
      <c r="CU88" s="1">
        <v>0.29199999999999998</v>
      </c>
      <c r="CV88">
        <f t="shared" si="102"/>
        <v>7.1999999999999981E-2</v>
      </c>
      <c r="CW88" s="1">
        <v>0.27700000000000002</v>
      </c>
      <c r="CX88">
        <f t="shared" si="103"/>
        <v>7.1000000000000035E-2</v>
      </c>
      <c r="CY88" s="1">
        <v>0.26200000000000001</v>
      </c>
      <c r="CZ88">
        <f t="shared" si="104"/>
        <v>5.400000000000002E-2</v>
      </c>
      <c r="DA88">
        <v>0.28699999999999998</v>
      </c>
      <c r="DB88">
        <f t="shared" si="105"/>
        <v>7.099999999999998E-2</v>
      </c>
      <c r="DC88">
        <v>0.27900000000000003</v>
      </c>
      <c r="DD88">
        <f t="shared" si="106"/>
        <v>7.6000000000000012E-2</v>
      </c>
      <c r="DE88">
        <v>0.26900000000000002</v>
      </c>
      <c r="DF88">
        <f t="shared" si="107"/>
        <v>6.4000000000000029E-2</v>
      </c>
    </row>
    <row r="89" spans="1:110">
      <c r="A89" t="s">
        <v>229</v>
      </c>
      <c r="B89" t="s">
        <v>230</v>
      </c>
      <c r="C89" s="1">
        <v>0.105</v>
      </c>
      <c r="D89" s="1">
        <f t="shared" si="54"/>
        <v>-1.9000000000000003E-2</v>
      </c>
      <c r="E89" s="1">
        <v>0.10199999999999999</v>
      </c>
      <c r="F89">
        <f t="shared" si="55"/>
        <v>-1.6E-2</v>
      </c>
      <c r="G89" s="1">
        <v>0.1</v>
      </c>
      <c r="H89">
        <f t="shared" si="56"/>
        <v>-3.4000000000000002E-2</v>
      </c>
      <c r="I89" s="1">
        <v>0.19600000000000001</v>
      </c>
      <c r="J89">
        <f t="shared" si="57"/>
        <v>2.4000000000000021E-2</v>
      </c>
      <c r="K89" s="1">
        <v>0.21199999999999999</v>
      </c>
      <c r="L89">
        <f t="shared" si="58"/>
        <v>3.6000000000000004E-2</v>
      </c>
      <c r="M89" s="1">
        <v>0.22800000000000001</v>
      </c>
      <c r="N89">
        <f t="shared" si="59"/>
        <v>6.0999999999999999E-2</v>
      </c>
      <c r="O89" s="1">
        <v>0.39600000000000002</v>
      </c>
      <c r="P89">
        <f t="shared" si="60"/>
        <v>0.22900000000000001</v>
      </c>
      <c r="Q89" s="1">
        <v>0.39900000000000002</v>
      </c>
      <c r="R89">
        <f t="shared" si="61"/>
        <v>0.22800000000000001</v>
      </c>
      <c r="S89" s="1">
        <v>0.432</v>
      </c>
      <c r="T89">
        <f t="shared" si="62"/>
        <v>0.23599999999999999</v>
      </c>
      <c r="U89" s="1">
        <v>0.56599999999999995</v>
      </c>
      <c r="V89">
        <f t="shared" si="63"/>
        <v>0.37599999999999995</v>
      </c>
      <c r="W89" s="1">
        <v>0.57399999999999995</v>
      </c>
      <c r="X89">
        <f t="shared" si="64"/>
        <v>0.38999999999999996</v>
      </c>
      <c r="Y89" s="1">
        <v>0.57999999999999996</v>
      </c>
      <c r="Z89">
        <f t="shared" si="65"/>
        <v>0.35299999999999998</v>
      </c>
      <c r="AA89" s="1">
        <v>0.68500000000000005</v>
      </c>
      <c r="AB89">
        <f t="shared" si="66"/>
        <v>0.49300000000000005</v>
      </c>
      <c r="AC89" s="1">
        <v>0.66</v>
      </c>
      <c r="AD89">
        <f t="shared" si="67"/>
        <v>0.48500000000000004</v>
      </c>
      <c r="AE89" s="1">
        <v>0.68</v>
      </c>
      <c r="AF89">
        <f t="shared" si="68"/>
        <v>0.46400000000000008</v>
      </c>
      <c r="AG89">
        <v>0.71399999999999997</v>
      </c>
      <c r="AH89">
        <f t="shared" si="69"/>
        <v>0.54999999999999993</v>
      </c>
      <c r="AI89">
        <v>0.70199999999999996</v>
      </c>
      <c r="AJ89">
        <f t="shared" si="70"/>
        <v>0.52600000000000002</v>
      </c>
      <c r="AK89">
        <v>0.74399999999999999</v>
      </c>
      <c r="AL89">
        <f t="shared" si="71"/>
        <v>0.54099999999999993</v>
      </c>
      <c r="AM89" s="1">
        <v>0.104</v>
      </c>
      <c r="AN89" s="2">
        <f t="shared" si="72"/>
        <v>-7.0000000000000062E-3</v>
      </c>
      <c r="AO89" s="1">
        <v>0.108</v>
      </c>
      <c r="AP89" s="2">
        <f t="shared" si="73"/>
        <v>-1.0000000000000009E-3</v>
      </c>
      <c r="AQ89" s="1">
        <v>0.109</v>
      </c>
      <c r="AR89" s="2">
        <f t="shared" si="74"/>
        <v>-3.0000000000000027E-3</v>
      </c>
      <c r="AS89" s="1">
        <v>0.193</v>
      </c>
      <c r="AT89" s="2">
        <f t="shared" si="75"/>
        <v>-3.0000000000000027E-3</v>
      </c>
      <c r="AU89" s="1">
        <v>0.19500000000000001</v>
      </c>
      <c r="AV89" s="2">
        <f t="shared" si="76"/>
        <v>-3.0000000000000027E-3</v>
      </c>
      <c r="AW89" s="1">
        <v>0.22600000000000001</v>
      </c>
      <c r="AX89" s="2">
        <f t="shared" si="77"/>
        <v>2.0000000000000018E-2</v>
      </c>
      <c r="AY89" s="1">
        <v>0.33300000000000002</v>
      </c>
      <c r="AZ89">
        <f t="shared" si="78"/>
        <v>0.12400000000000003</v>
      </c>
      <c r="BA89" s="1">
        <v>0.34499999999999997</v>
      </c>
      <c r="BB89">
        <f t="shared" si="79"/>
        <v>0.13899999999999998</v>
      </c>
      <c r="BC89" s="1">
        <v>0.41</v>
      </c>
      <c r="BD89">
        <f t="shared" si="80"/>
        <v>0.19599999999999998</v>
      </c>
      <c r="BE89" s="1">
        <v>0.42299999999999999</v>
      </c>
      <c r="BF89">
        <f t="shared" si="81"/>
        <v>0.20599999999999999</v>
      </c>
      <c r="BG89" s="1">
        <v>0.38200000000000001</v>
      </c>
      <c r="BH89">
        <f t="shared" si="82"/>
        <v>0.17700000000000002</v>
      </c>
      <c r="BI89" s="1">
        <v>0.55200000000000005</v>
      </c>
      <c r="BJ89">
        <f t="shared" si="83"/>
        <v>0.34600000000000009</v>
      </c>
      <c r="BK89" s="1">
        <v>0.51</v>
      </c>
      <c r="BL89">
        <f t="shared" si="84"/>
        <v>0.29100000000000004</v>
      </c>
      <c r="BM89" s="1">
        <v>0.44800000000000001</v>
      </c>
      <c r="BN89">
        <f t="shared" si="85"/>
        <v>0.23200000000000001</v>
      </c>
      <c r="BO89" s="1">
        <v>0.60899999999999999</v>
      </c>
      <c r="BP89">
        <f t="shared" si="86"/>
        <v>0.38800000000000001</v>
      </c>
      <c r="BQ89">
        <v>0.56599999999999995</v>
      </c>
      <c r="BR89">
        <f t="shared" si="87"/>
        <v>0.34699999999999998</v>
      </c>
      <c r="BS89">
        <v>0.48799999999999999</v>
      </c>
      <c r="BT89">
        <f t="shared" si="88"/>
        <v>0.28599999999999998</v>
      </c>
      <c r="BU89">
        <v>0.65</v>
      </c>
      <c r="BV89">
        <f t="shared" si="89"/>
        <v>0.42600000000000005</v>
      </c>
      <c r="BW89" s="1">
        <v>0.11700000000000001</v>
      </c>
      <c r="BX89" s="2">
        <f t="shared" si="90"/>
        <v>-4.1999999999999996E-2</v>
      </c>
      <c r="BY89" s="1">
        <v>0.105</v>
      </c>
      <c r="BZ89" s="2">
        <f t="shared" si="91"/>
        <v>1.0000000000000009E-3</v>
      </c>
      <c r="CA89" s="1">
        <v>0.112</v>
      </c>
      <c r="CB89" s="2">
        <f t="shared" si="92"/>
        <v>-0.377</v>
      </c>
      <c r="CC89" s="1">
        <v>0.182</v>
      </c>
      <c r="CD89" s="2">
        <f t="shared" si="93"/>
        <v>-3.3000000000000002E-2</v>
      </c>
      <c r="CE89" s="1">
        <v>0.17100000000000001</v>
      </c>
      <c r="CF89" s="2">
        <f t="shared" si="94"/>
        <v>-1.0999999999999982E-2</v>
      </c>
      <c r="CG89" s="1">
        <v>0.20300000000000001</v>
      </c>
      <c r="CH89" s="2">
        <f t="shared" si="95"/>
        <v>1.2000000000000011E-2</v>
      </c>
      <c r="CI89" s="1">
        <v>0.36399999999999999</v>
      </c>
      <c r="CJ89">
        <f t="shared" si="96"/>
        <v>0.154</v>
      </c>
      <c r="CK89" s="1">
        <v>0.24099999999999999</v>
      </c>
      <c r="CL89">
        <f t="shared" si="97"/>
        <v>4.5999999999999985E-2</v>
      </c>
      <c r="CM89" s="1">
        <v>0.28499999999999998</v>
      </c>
      <c r="CN89">
        <f t="shared" si="98"/>
        <v>7.7999999999999986E-2</v>
      </c>
      <c r="CO89" s="1">
        <v>0.45800000000000002</v>
      </c>
      <c r="CP89">
        <f t="shared" si="99"/>
        <v>0.24100000000000002</v>
      </c>
      <c r="CQ89" s="1">
        <v>0.30199999999999999</v>
      </c>
      <c r="CR89">
        <f t="shared" si="100"/>
        <v>0.10299999999999998</v>
      </c>
      <c r="CS89" s="1">
        <v>0.45400000000000001</v>
      </c>
      <c r="CT89">
        <f t="shared" si="101"/>
        <v>0.254</v>
      </c>
      <c r="CU89" s="1">
        <v>0.52100000000000002</v>
      </c>
      <c r="CV89">
        <f t="shared" si="102"/>
        <v>0.30100000000000005</v>
      </c>
      <c r="CW89" s="1">
        <v>0.34899999999999998</v>
      </c>
      <c r="CX89">
        <f t="shared" si="103"/>
        <v>0.14299999999999999</v>
      </c>
      <c r="CY89" s="1">
        <v>0.51800000000000002</v>
      </c>
      <c r="CZ89">
        <f t="shared" si="104"/>
        <v>0.31000000000000005</v>
      </c>
      <c r="DA89">
        <v>0.53200000000000003</v>
      </c>
      <c r="DB89">
        <f t="shared" si="105"/>
        <v>0.31600000000000006</v>
      </c>
      <c r="DC89">
        <v>0.36399999999999999</v>
      </c>
      <c r="DD89">
        <f t="shared" si="106"/>
        <v>0.16099999999999998</v>
      </c>
      <c r="DE89">
        <v>0.55800000000000005</v>
      </c>
      <c r="DF89">
        <f t="shared" si="107"/>
        <v>0.35300000000000009</v>
      </c>
    </row>
    <row r="90" spans="1:110">
      <c r="A90" t="s">
        <v>231</v>
      </c>
      <c r="B90" t="s">
        <v>232</v>
      </c>
      <c r="C90" s="1">
        <v>9.9000000000000005E-2</v>
      </c>
      <c r="D90" s="1">
        <f t="shared" si="54"/>
        <v>-2.4999999999999994E-2</v>
      </c>
      <c r="E90" s="1">
        <v>0.11</v>
      </c>
      <c r="F90">
        <f t="shared" si="55"/>
        <v>-7.9999999999999932E-3</v>
      </c>
      <c r="G90" s="1">
        <v>0.10100000000000001</v>
      </c>
      <c r="H90">
        <f t="shared" si="56"/>
        <v>-3.3000000000000002E-2</v>
      </c>
      <c r="I90" s="1">
        <v>0.23200000000000001</v>
      </c>
      <c r="J90">
        <f t="shared" si="57"/>
        <v>6.0000000000000026E-2</v>
      </c>
      <c r="K90" s="1">
        <v>0.27300000000000002</v>
      </c>
      <c r="L90">
        <f t="shared" si="58"/>
        <v>9.7000000000000031E-2</v>
      </c>
      <c r="M90" s="1">
        <v>0.28399999999999997</v>
      </c>
      <c r="N90">
        <f t="shared" si="59"/>
        <v>0.11699999999999997</v>
      </c>
      <c r="O90" s="1">
        <v>0.26</v>
      </c>
      <c r="P90">
        <f t="shared" si="60"/>
        <v>9.2999999999999999E-2</v>
      </c>
      <c r="Q90" s="1">
        <v>0.25800000000000001</v>
      </c>
      <c r="R90">
        <f t="shared" si="61"/>
        <v>8.6999999999999994E-2</v>
      </c>
      <c r="S90" s="1">
        <v>0.27500000000000002</v>
      </c>
      <c r="T90">
        <f t="shared" si="62"/>
        <v>7.9000000000000015E-2</v>
      </c>
      <c r="U90" s="1">
        <v>0.26700000000000002</v>
      </c>
      <c r="V90">
        <f t="shared" si="63"/>
        <v>7.7000000000000013E-2</v>
      </c>
      <c r="W90" s="1">
        <v>0.26700000000000002</v>
      </c>
      <c r="X90">
        <f t="shared" si="64"/>
        <v>8.3000000000000018E-2</v>
      </c>
      <c r="Y90" s="1">
        <v>0.27500000000000002</v>
      </c>
      <c r="Z90">
        <f t="shared" si="65"/>
        <v>4.8000000000000015E-2</v>
      </c>
      <c r="AA90" s="1">
        <v>0.27200000000000002</v>
      </c>
      <c r="AB90">
        <f t="shared" si="66"/>
        <v>8.0000000000000016E-2</v>
      </c>
      <c r="AC90" s="1">
        <v>0.27300000000000002</v>
      </c>
      <c r="AD90">
        <f t="shared" si="67"/>
        <v>9.8000000000000032E-2</v>
      </c>
      <c r="AE90" s="1">
        <v>0.27600000000000002</v>
      </c>
      <c r="AF90">
        <f t="shared" si="68"/>
        <v>6.0000000000000026E-2</v>
      </c>
      <c r="AG90">
        <v>0.25900000000000001</v>
      </c>
      <c r="AH90">
        <f t="shared" si="69"/>
        <v>9.5000000000000001E-2</v>
      </c>
      <c r="AI90">
        <v>0.27300000000000002</v>
      </c>
      <c r="AJ90">
        <f t="shared" si="70"/>
        <v>9.7000000000000031E-2</v>
      </c>
      <c r="AK90">
        <v>0.28199999999999997</v>
      </c>
      <c r="AL90">
        <f t="shared" si="71"/>
        <v>7.8999999999999959E-2</v>
      </c>
      <c r="AM90" s="1">
        <v>0.104</v>
      </c>
      <c r="AN90" s="2">
        <f t="shared" si="72"/>
        <v>-7.0000000000000062E-3</v>
      </c>
      <c r="AO90" s="1">
        <v>0.112</v>
      </c>
      <c r="AP90" s="2">
        <f t="shared" si="73"/>
        <v>3.0000000000000027E-3</v>
      </c>
      <c r="AQ90" s="1">
        <v>0.108</v>
      </c>
      <c r="AR90" s="2">
        <f t="shared" si="74"/>
        <v>-4.0000000000000036E-3</v>
      </c>
      <c r="AS90" s="1">
        <v>0.15</v>
      </c>
      <c r="AT90" s="2">
        <f t="shared" si="75"/>
        <v>-4.6000000000000013E-2</v>
      </c>
      <c r="AU90" s="1">
        <v>0.161</v>
      </c>
      <c r="AV90" s="2">
        <f t="shared" si="76"/>
        <v>-3.7000000000000005E-2</v>
      </c>
      <c r="AW90" s="1">
        <v>0.156</v>
      </c>
      <c r="AX90" s="2">
        <f t="shared" si="77"/>
        <v>-4.9999999999999989E-2</v>
      </c>
      <c r="AY90" s="1">
        <v>0.20200000000000001</v>
      </c>
      <c r="AZ90">
        <f t="shared" si="78"/>
        <v>-6.9999999999999785E-3</v>
      </c>
      <c r="BA90" s="1">
        <v>0.221</v>
      </c>
      <c r="BB90">
        <f t="shared" si="79"/>
        <v>1.5000000000000013E-2</v>
      </c>
      <c r="BC90" s="1">
        <v>0.20699999999999999</v>
      </c>
      <c r="BD90">
        <f t="shared" si="80"/>
        <v>-7.0000000000000062E-3</v>
      </c>
      <c r="BE90" s="1">
        <v>0.23799999999999999</v>
      </c>
      <c r="BF90">
        <f t="shared" si="81"/>
        <v>2.0999999999999991E-2</v>
      </c>
      <c r="BG90" s="1">
        <v>0.26800000000000002</v>
      </c>
      <c r="BH90">
        <f t="shared" si="82"/>
        <v>6.3000000000000028E-2</v>
      </c>
      <c r="BI90" s="1">
        <v>0.24299999999999999</v>
      </c>
      <c r="BJ90">
        <f t="shared" si="83"/>
        <v>3.7000000000000005E-2</v>
      </c>
      <c r="BK90" s="1">
        <v>0.26100000000000001</v>
      </c>
      <c r="BL90">
        <f t="shared" si="84"/>
        <v>4.200000000000001E-2</v>
      </c>
      <c r="BM90" s="1">
        <v>0.33900000000000002</v>
      </c>
      <c r="BN90">
        <f t="shared" si="85"/>
        <v>0.12300000000000003</v>
      </c>
      <c r="BO90" s="1">
        <v>0.311</v>
      </c>
      <c r="BP90">
        <f t="shared" si="86"/>
        <v>0.09</v>
      </c>
      <c r="BQ90">
        <v>0.33800000000000002</v>
      </c>
      <c r="BR90">
        <f t="shared" si="87"/>
        <v>0.11900000000000002</v>
      </c>
      <c r="BS90">
        <v>0.374</v>
      </c>
      <c r="BT90">
        <f t="shared" si="88"/>
        <v>0.17199999999999999</v>
      </c>
      <c r="BU90">
        <v>0.33300000000000002</v>
      </c>
      <c r="BV90">
        <f t="shared" si="89"/>
        <v>0.10900000000000001</v>
      </c>
      <c r="BW90" s="1">
        <v>0.113</v>
      </c>
      <c r="BX90" s="2">
        <f t="shared" si="90"/>
        <v>-4.5999999999999999E-2</v>
      </c>
      <c r="BY90" s="1">
        <v>9.8000000000000004E-2</v>
      </c>
      <c r="BZ90" s="2">
        <f t="shared" si="91"/>
        <v>-5.9999999999999915E-3</v>
      </c>
      <c r="CA90" s="1">
        <v>9.7000000000000003E-2</v>
      </c>
      <c r="CB90" s="2">
        <f t="shared" si="92"/>
        <v>-0.39200000000000002</v>
      </c>
      <c r="CC90" s="1">
        <v>0.154</v>
      </c>
      <c r="CD90" s="2">
        <f t="shared" si="93"/>
        <v>-6.0999999999999999E-2</v>
      </c>
      <c r="CE90" s="1">
        <v>0.13400000000000001</v>
      </c>
      <c r="CF90" s="2">
        <f t="shared" si="94"/>
        <v>-4.7999999999999987E-2</v>
      </c>
      <c r="CG90" s="1">
        <v>0.16200000000000001</v>
      </c>
      <c r="CH90" s="2">
        <f t="shared" si="95"/>
        <v>-2.8999999999999998E-2</v>
      </c>
      <c r="CI90" s="1">
        <v>0.20599999999999999</v>
      </c>
      <c r="CJ90">
        <f t="shared" si="96"/>
        <v>-4.0000000000000036E-3</v>
      </c>
      <c r="CK90" s="1">
        <v>0.17599999999999999</v>
      </c>
      <c r="CL90">
        <f t="shared" si="97"/>
        <v>-1.9000000000000017E-2</v>
      </c>
      <c r="CM90" s="1">
        <v>0.154</v>
      </c>
      <c r="CN90">
        <f t="shared" si="98"/>
        <v>-5.2999999999999992E-2</v>
      </c>
      <c r="CO90" s="1">
        <v>0.26800000000000002</v>
      </c>
      <c r="CP90">
        <f t="shared" si="99"/>
        <v>5.1000000000000018E-2</v>
      </c>
      <c r="CQ90" s="1">
        <v>0.214</v>
      </c>
      <c r="CR90">
        <f t="shared" si="100"/>
        <v>1.4999999999999986E-2</v>
      </c>
      <c r="CS90" s="1">
        <v>0.17799999999999999</v>
      </c>
      <c r="CT90">
        <f t="shared" si="101"/>
        <v>-2.200000000000002E-2</v>
      </c>
      <c r="CU90" s="1">
        <v>0.312</v>
      </c>
      <c r="CV90">
        <f t="shared" si="102"/>
        <v>9.1999999999999998E-2</v>
      </c>
      <c r="CW90" s="1">
        <v>0.23599999999999999</v>
      </c>
      <c r="CX90">
        <f t="shared" si="103"/>
        <v>0.03</v>
      </c>
      <c r="CY90" s="1">
        <v>0.18099999999999999</v>
      </c>
      <c r="CZ90">
        <f t="shared" si="104"/>
        <v>-2.6999999999999996E-2</v>
      </c>
      <c r="DA90">
        <v>0.32</v>
      </c>
      <c r="DB90">
        <f t="shared" si="105"/>
        <v>0.10400000000000001</v>
      </c>
      <c r="DC90">
        <v>0.28899999999999998</v>
      </c>
      <c r="DD90">
        <f t="shared" si="106"/>
        <v>8.5999999999999965E-2</v>
      </c>
      <c r="DE90">
        <v>0.21099999999999999</v>
      </c>
      <c r="DF90">
        <f t="shared" si="107"/>
        <v>6.0000000000000053E-3</v>
      </c>
    </row>
    <row r="91" spans="1:110">
      <c r="A91" t="s">
        <v>233</v>
      </c>
      <c r="B91" t="s">
        <v>234</v>
      </c>
      <c r="C91" s="1">
        <v>0.122</v>
      </c>
      <c r="D91" s="1">
        <f t="shared" si="54"/>
        <v>-2.0000000000000018E-3</v>
      </c>
      <c r="E91" s="1">
        <v>0.126</v>
      </c>
      <c r="F91">
        <f t="shared" si="55"/>
        <v>8.0000000000000071E-3</v>
      </c>
      <c r="G91" s="1">
        <v>0.125</v>
      </c>
      <c r="H91">
        <f t="shared" si="56"/>
        <v>-9.000000000000008E-3</v>
      </c>
      <c r="I91" s="1">
        <v>0.191</v>
      </c>
      <c r="J91">
        <f t="shared" si="57"/>
        <v>1.9000000000000017E-2</v>
      </c>
      <c r="K91" s="1">
        <v>0.219</v>
      </c>
      <c r="L91">
        <f t="shared" si="58"/>
        <v>4.300000000000001E-2</v>
      </c>
      <c r="M91" s="1">
        <v>0.248</v>
      </c>
      <c r="N91">
        <f t="shared" si="59"/>
        <v>8.0999999999999989E-2</v>
      </c>
      <c r="O91" s="1">
        <v>0.249</v>
      </c>
      <c r="P91">
        <f t="shared" si="60"/>
        <v>8.199999999999999E-2</v>
      </c>
      <c r="Q91" s="1">
        <v>0.29899999999999999</v>
      </c>
      <c r="R91">
        <f t="shared" si="61"/>
        <v>0.12799999999999997</v>
      </c>
      <c r="S91" s="1">
        <v>0.39700000000000002</v>
      </c>
      <c r="T91">
        <f t="shared" si="62"/>
        <v>0.20100000000000001</v>
      </c>
      <c r="U91" s="1">
        <v>0.36399999999999999</v>
      </c>
      <c r="V91">
        <f t="shared" si="63"/>
        <v>0.17399999999999999</v>
      </c>
      <c r="W91" s="1">
        <v>0.42799999999999999</v>
      </c>
      <c r="X91">
        <f t="shared" si="64"/>
        <v>0.24399999999999999</v>
      </c>
      <c r="Y91" s="1">
        <v>0.50800000000000001</v>
      </c>
      <c r="Z91">
        <f t="shared" si="65"/>
        <v>0.28100000000000003</v>
      </c>
      <c r="AA91" s="1">
        <v>0.47399999999999998</v>
      </c>
      <c r="AB91">
        <f t="shared" si="66"/>
        <v>0.28199999999999997</v>
      </c>
      <c r="AC91" s="1">
        <v>0.61899999999999999</v>
      </c>
      <c r="AD91">
        <f t="shared" si="67"/>
        <v>0.44400000000000001</v>
      </c>
      <c r="AE91" s="1">
        <v>0.6</v>
      </c>
      <c r="AF91">
        <f t="shared" si="68"/>
        <v>0.38400000000000001</v>
      </c>
      <c r="AG91">
        <v>0.56699999999999995</v>
      </c>
      <c r="AH91">
        <f t="shared" si="69"/>
        <v>0.40299999999999991</v>
      </c>
      <c r="AI91">
        <v>0.74199999999999999</v>
      </c>
      <c r="AJ91">
        <f t="shared" si="70"/>
        <v>0.56600000000000006</v>
      </c>
      <c r="AK91">
        <v>0.67300000000000004</v>
      </c>
      <c r="AL91">
        <f t="shared" si="71"/>
        <v>0.47000000000000003</v>
      </c>
      <c r="AM91" s="1">
        <v>0.114</v>
      </c>
      <c r="AN91" s="2">
        <f t="shared" si="72"/>
        <v>3.0000000000000027E-3</v>
      </c>
      <c r="AO91" s="1">
        <v>0.105</v>
      </c>
      <c r="AP91" s="2">
        <f t="shared" si="73"/>
        <v>-4.0000000000000036E-3</v>
      </c>
      <c r="AQ91" s="1">
        <v>0.112</v>
      </c>
      <c r="AR91" s="2">
        <f t="shared" si="74"/>
        <v>0</v>
      </c>
      <c r="AS91" s="1">
        <v>0.19900000000000001</v>
      </c>
      <c r="AT91" s="2">
        <f t="shared" si="75"/>
        <v>3.0000000000000027E-3</v>
      </c>
      <c r="AU91" s="1">
        <v>0.20899999999999999</v>
      </c>
      <c r="AV91" s="2">
        <f t="shared" si="76"/>
        <v>1.0999999999999982E-2</v>
      </c>
      <c r="AW91" s="1">
        <v>0.216</v>
      </c>
      <c r="AX91" s="2">
        <f t="shared" si="77"/>
        <v>1.0000000000000009E-2</v>
      </c>
      <c r="AY91" s="1">
        <v>0.309</v>
      </c>
      <c r="AZ91">
        <f t="shared" si="78"/>
        <v>0.1</v>
      </c>
      <c r="BA91" s="1">
        <v>0.316</v>
      </c>
      <c r="BB91">
        <f t="shared" si="79"/>
        <v>0.11000000000000001</v>
      </c>
      <c r="BC91" s="1">
        <v>0.308</v>
      </c>
      <c r="BD91">
        <f t="shared" si="80"/>
        <v>9.4E-2</v>
      </c>
      <c r="BE91" s="1">
        <v>0.378</v>
      </c>
      <c r="BF91">
        <f t="shared" si="81"/>
        <v>0.161</v>
      </c>
      <c r="BG91" s="1">
        <v>0.35199999999999998</v>
      </c>
      <c r="BH91">
        <f t="shared" si="82"/>
        <v>0.14699999999999999</v>
      </c>
      <c r="BI91" s="1">
        <v>0.35299999999999998</v>
      </c>
      <c r="BJ91">
        <f t="shared" si="83"/>
        <v>0.14699999999999999</v>
      </c>
      <c r="BK91" s="1">
        <v>0.48199999999999998</v>
      </c>
      <c r="BL91">
        <f t="shared" si="84"/>
        <v>0.26300000000000001</v>
      </c>
      <c r="BM91" s="1">
        <v>0.42399999999999999</v>
      </c>
      <c r="BN91">
        <f t="shared" si="85"/>
        <v>0.20799999999999999</v>
      </c>
      <c r="BO91" s="1">
        <v>0.41</v>
      </c>
      <c r="BP91">
        <f t="shared" si="86"/>
        <v>0.18899999999999997</v>
      </c>
      <c r="BQ91">
        <v>0.65700000000000003</v>
      </c>
      <c r="BR91">
        <f t="shared" si="87"/>
        <v>0.43800000000000006</v>
      </c>
      <c r="BS91">
        <v>0.61399999999999999</v>
      </c>
      <c r="BT91">
        <f t="shared" si="88"/>
        <v>0.41199999999999998</v>
      </c>
      <c r="BU91">
        <v>0.48299999999999998</v>
      </c>
      <c r="BV91">
        <f t="shared" si="89"/>
        <v>0.25900000000000001</v>
      </c>
      <c r="BW91" s="1">
        <v>0.13700000000000001</v>
      </c>
      <c r="BX91" s="2">
        <f t="shared" si="90"/>
        <v>-2.1999999999999992E-2</v>
      </c>
      <c r="BY91" s="1">
        <v>0.10199999999999999</v>
      </c>
      <c r="BZ91" s="2">
        <f t="shared" si="91"/>
        <v>-2.0000000000000018E-3</v>
      </c>
      <c r="CA91" s="1">
        <v>0.123</v>
      </c>
      <c r="CB91" s="2">
        <f t="shared" si="92"/>
        <v>-0.36599999999999999</v>
      </c>
      <c r="CC91" s="1">
        <v>0.19</v>
      </c>
      <c r="CD91" s="2">
        <f t="shared" si="93"/>
        <v>-2.4999999999999994E-2</v>
      </c>
      <c r="CE91" s="1">
        <v>0.18</v>
      </c>
      <c r="CF91" s="2">
        <f t="shared" si="94"/>
        <v>-2.0000000000000018E-3</v>
      </c>
      <c r="CG91" s="1">
        <v>0.23100000000000001</v>
      </c>
      <c r="CH91" s="2">
        <f t="shared" si="95"/>
        <v>4.0000000000000008E-2</v>
      </c>
      <c r="CI91" s="1">
        <v>0.24099999999999999</v>
      </c>
      <c r="CJ91">
        <f t="shared" si="96"/>
        <v>3.1E-2</v>
      </c>
      <c r="CK91" s="1">
        <v>0.26900000000000002</v>
      </c>
      <c r="CL91">
        <f t="shared" si="97"/>
        <v>7.400000000000001E-2</v>
      </c>
      <c r="CM91" s="1">
        <v>0.24199999999999999</v>
      </c>
      <c r="CN91">
        <f t="shared" si="98"/>
        <v>3.5000000000000003E-2</v>
      </c>
      <c r="CO91" s="1">
        <v>0.307</v>
      </c>
      <c r="CP91">
        <f t="shared" si="99"/>
        <v>0.09</v>
      </c>
      <c r="CQ91" s="1">
        <v>0.35</v>
      </c>
      <c r="CR91">
        <f t="shared" si="100"/>
        <v>0.15099999999999997</v>
      </c>
      <c r="CS91" s="1">
        <v>0.307</v>
      </c>
      <c r="CT91">
        <f t="shared" si="101"/>
        <v>0.10699999999999998</v>
      </c>
      <c r="CU91" s="1">
        <v>0.38600000000000001</v>
      </c>
      <c r="CV91">
        <f t="shared" si="102"/>
        <v>0.16600000000000001</v>
      </c>
      <c r="CW91" s="1">
        <v>0.44800000000000001</v>
      </c>
      <c r="CX91">
        <f t="shared" si="103"/>
        <v>0.24200000000000002</v>
      </c>
      <c r="CY91" s="1">
        <v>0.376</v>
      </c>
      <c r="CZ91">
        <f t="shared" si="104"/>
        <v>0.16800000000000001</v>
      </c>
      <c r="DA91">
        <v>0.45500000000000002</v>
      </c>
      <c r="DB91">
        <f t="shared" si="105"/>
        <v>0.23900000000000002</v>
      </c>
      <c r="DC91">
        <v>0.54600000000000004</v>
      </c>
      <c r="DD91">
        <f t="shared" si="106"/>
        <v>0.34300000000000003</v>
      </c>
      <c r="DE91">
        <v>0.42399999999999999</v>
      </c>
      <c r="DF91">
        <f t="shared" si="107"/>
        <v>0.219</v>
      </c>
    </row>
    <row r="92" spans="1:110">
      <c r="A92" t="s">
        <v>235</v>
      </c>
      <c r="B92" t="s">
        <v>236</v>
      </c>
      <c r="C92" s="1">
        <v>9.8000000000000004E-2</v>
      </c>
      <c r="D92" s="1">
        <f t="shared" si="54"/>
        <v>-2.5999999999999995E-2</v>
      </c>
      <c r="E92" s="1">
        <v>0.10299999999999999</v>
      </c>
      <c r="F92">
        <f t="shared" si="55"/>
        <v>-1.4999999999999999E-2</v>
      </c>
      <c r="G92" s="1">
        <v>0.1</v>
      </c>
      <c r="H92">
        <f t="shared" si="56"/>
        <v>-3.4000000000000002E-2</v>
      </c>
      <c r="I92" s="1">
        <v>0.42399999999999999</v>
      </c>
      <c r="J92">
        <f t="shared" si="57"/>
        <v>0.252</v>
      </c>
      <c r="K92" s="1">
        <v>0.54100000000000004</v>
      </c>
      <c r="L92">
        <f t="shared" si="58"/>
        <v>0.36500000000000005</v>
      </c>
      <c r="M92" s="1">
        <v>0.441</v>
      </c>
      <c r="N92">
        <f t="shared" si="59"/>
        <v>0.27400000000000002</v>
      </c>
      <c r="O92" s="1">
        <v>0.72399999999999998</v>
      </c>
      <c r="P92">
        <f t="shared" si="60"/>
        <v>0.55699999999999994</v>
      </c>
      <c r="Q92" s="1">
        <v>0.84199999999999997</v>
      </c>
      <c r="R92">
        <f t="shared" si="61"/>
        <v>0.67099999999999993</v>
      </c>
      <c r="S92" s="1">
        <v>0.79600000000000004</v>
      </c>
      <c r="T92">
        <f t="shared" si="62"/>
        <v>0.60000000000000009</v>
      </c>
      <c r="U92" s="1">
        <v>0.88400000000000001</v>
      </c>
      <c r="V92">
        <f t="shared" si="63"/>
        <v>0.69399999999999995</v>
      </c>
      <c r="W92" s="1">
        <v>0.96599999999999997</v>
      </c>
      <c r="X92">
        <f t="shared" si="64"/>
        <v>0.78200000000000003</v>
      </c>
      <c r="Y92" s="1">
        <v>0.84899999999999998</v>
      </c>
      <c r="Z92">
        <f t="shared" si="65"/>
        <v>0.622</v>
      </c>
      <c r="AA92" s="1">
        <v>0.97099999999999997</v>
      </c>
      <c r="AB92">
        <f t="shared" si="66"/>
        <v>0.77899999999999991</v>
      </c>
      <c r="AC92" s="1">
        <v>0.93100000000000005</v>
      </c>
      <c r="AD92">
        <f t="shared" si="67"/>
        <v>0.75600000000000001</v>
      </c>
      <c r="AE92" s="1">
        <v>0.90600000000000003</v>
      </c>
      <c r="AF92">
        <f t="shared" si="68"/>
        <v>0.69000000000000006</v>
      </c>
      <c r="AG92">
        <v>0.89200000000000002</v>
      </c>
      <c r="AH92">
        <f t="shared" si="69"/>
        <v>0.72799999999999998</v>
      </c>
      <c r="AI92">
        <v>0.88</v>
      </c>
      <c r="AJ92">
        <f t="shared" si="70"/>
        <v>0.70399999999999996</v>
      </c>
      <c r="AK92">
        <v>0.872</v>
      </c>
      <c r="AL92">
        <f t="shared" si="71"/>
        <v>0.66900000000000004</v>
      </c>
      <c r="AM92" s="1">
        <v>0.10100000000000001</v>
      </c>
      <c r="AN92" s="2">
        <f t="shared" si="72"/>
        <v>-9.999999999999995E-3</v>
      </c>
      <c r="AO92" s="1">
        <v>0.108</v>
      </c>
      <c r="AP92" s="2">
        <f t="shared" si="73"/>
        <v>-1.0000000000000009E-3</v>
      </c>
      <c r="AQ92" s="1">
        <v>0.113</v>
      </c>
      <c r="AR92" s="2">
        <f t="shared" si="74"/>
        <v>1.0000000000000009E-3</v>
      </c>
      <c r="AS92" s="1">
        <v>0.20699999999999999</v>
      </c>
      <c r="AT92" s="2">
        <f t="shared" si="75"/>
        <v>1.0999999999999982E-2</v>
      </c>
      <c r="AU92" s="1">
        <v>0.39800000000000002</v>
      </c>
      <c r="AV92" s="2">
        <f t="shared" si="76"/>
        <v>0.2</v>
      </c>
      <c r="AW92" s="1">
        <v>0.19400000000000001</v>
      </c>
      <c r="AX92" s="2">
        <f t="shared" si="77"/>
        <v>-1.1999999999999983E-2</v>
      </c>
      <c r="AY92" s="1">
        <v>0.33</v>
      </c>
      <c r="AZ92">
        <f t="shared" si="78"/>
        <v>0.12100000000000002</v>
      </c>
      <c r="BA92" s="1">
        <v>0.97599999999999998</v>
      </c>
      <c r="BB92">
        <f t="shared" si="79"/>
        <v>0.77</v>
      </c>
      <c r="BC92" s="1">
        <v>0.26900000000000002</v>
      </c>
      <c r="BD92">
        <f t="shared" si="80"/>
        <v>5.5000000000000021E-2</v>
      </c>
      <c r="BE92" s="1">
        <v>0.79100000000000004</v>
      </c>
      <c r="BF92">
        <f t="shared" si="81"/>
        <v>0.57400000000000007</v>
      </c>
      <c r="BG92" s="1">
        <v>0.97799999999999998</v>
      </c>
      <c r="BH92">
        <f t="shared" si="82"/>
        <v>0.77300000000000002</v>
      </c>
      <c r="BI92" s="1">
        <v>0.33</v>
      </c>
      <c r="BJ92">
        <f t="shared" si="83"/>
        <v>0.12400000000000003</v>
      </c>
      <c r="BK92" s="1">
        <v>0.99099999999999999</v>
      </c>
      <c r="BL92">
        <f t="shared" si="84"/>
        <v>0.77200000000000002</v>
      </c>
      <c r="BM92" s="1">
        <v>0.93400000000000005</v>
      </c>
      <c r="BN92">
        <f t="shared" si="85"/>
        <v>0.71800000000000008</v>
      </c>
      <c r="BO92" s="1">
        <v>0.73899999999999999</v>
      </c>
      <c r="BP92">
        <f t="shared" si="86"/>
        <v>0.51800000000000002</v>
      </c>
      <c r="BQ92">
        <v>1.01</v>
      </c>
      <c r="BR92">
        <f t="shared" si="87"/>
        <v>0.79100000000000004</v>
      </c>
      <c r="BS92">
        <v>0.90100000000000002</v>
      </c>
      <c r="BT92">
        <f t="shared" si="88"/>
        <v>0.69900000000000007</v>
      </c>
      <c r="BU92">
        <v>0.96599999999999997</v>
      </c>
      <c r="BV92">
        <f t="shared" si="89"/>
        <v>0.74199999999999999</v>
      </c>
      <c r="BW92" s="1">
        <v>0.1</v>
      </c>
      <c r="BX92" s="2">
        <f t="shared" si="90"/>
        <v>-5.8999999999999997E-2</v>
      </c>
      <c r="BY92" s="1">
        <v>0.109</v>
      </c>
      <c r="BZ92" s="2">
        <f t="shared" si="91"/>
        <v>5.0000000000000044E-3</v>
      </c>
      <c r="CA92" s="1">
        <v>9.8000000000000004E-2</v>
      </c>
      <c r="CB92" s="2">
        <f t="shared" si="92"/>
        <v>-0.39100000000000001</v>
      </c>
      <c r="CC92" s="1">
        <v>0.27</v>
      </c>
      <c r="CD92" s="2">
        <f t="shared" si="93"/>
        <v>5.5000000000000021E-2</v>
      </c>
      <c r="CE92" s="1">
        <v>0.35099999999999998</v>
      </c>
      <c r="CF92" s="2">
        <f t="shared" si="94"/>
        <v>0.16899999999999998</v>
      </c>
      <c r="CG92" s="1">
        <v>0.20599999999999999</v>
      </c>
      <c r="CH92" s="2">
        <f t="shared" si="95"/>
        <v>1.4999999999999986E-2</v>
      </c>
      <c r="CI92" s="1">
        <v>0.85499999999999998</v>
      </c>
      <c r="CJ92">
        <f t="shared" si="96"/>
        <v>0.64500000000000002</v>
      </c>
      <c r="CK92" s="1">
        <v>0.92600000000000005</v>
      </c>
      <c r="CL92">
        <f t="shared" si="97"/>
        <v>0.73100000000000009</v>
      </c>
      <c r="CM92" s="1">
        <v>0.26600000000000001</v>
      </c>
      <c r="CN92">
        <f t="shared" si="98"/>
        <v>5.9000000000000025E-2</v>
      </c>
      <c r="CO92" s="1">
        <v>0.98099999999999998</v>
      </c>
      <c r="CP92">
        <f t="shared" si="99"/>
        <v>0.76400000000000001</v>
      </c>
      <c r="CQ92" s="1">
        <v>1.0029999999999999</v>
      </c>
      <c r="CR92">
        <f t="shared" si="100"/>
        <v>0.80399999999999983</v>
      </c>
      <c r="CS92" s="1">
        <v>0.66300000000000003</v>
      </c>
      <c r="CT92">
        <f t="shared" si="101"/>
        <v>0.46300000000000002</v>
      </c>
      <c r="CU92" s="1">
        <v>0.95499999999999996</v>
      </c>
      <c r="CV92">
        <f t="shared" si="102"/>
        <v>0.73499999999999999</v>
      </c>
      <c r="CW92" s="1">
        <v>0.97499999999999998</v>
      </c>
      <c r="CX92">
        <f t="shared" si="103"/>
        <v>0.76900000000000002</v>
      </c>
      <c r="CY92" s="1">
        <v>0.98599999999999999</v>
      </c>
      <c r="CZ92">
        <f t="shared" si="104"/>
        <v>0.77800000000000002</v>
      </c>
      <c r="DA92">
        <v>0.93100000000000005</v>
      </c>
      <c r="DB92">
        <f t="shared" si="105"/>
        <v>0.71500000000000008</v>
      </c>
      <c r="DC92">
        <v>0.96299999999999997</v>
      </c>
      <c r="DD92">
        <f t="shared" si="106"/>
        <v>0.76</v>
      </c>
      <c r="DE92">
        <v>0.96799999999999997</v>
      </c>
      <c r="DF92">
        <f t="shared" si="107"/>
        <v>0.76300000000000001</v>
      </c>
    </row>
    <row r="93" spans="1:110">
      <c r="A93" t="s">
        <v>237</v>
      </c>
      <c r="B93" t="s">
        <v>238</v>
      </c>
      <c r="C93" s="1">
        <v>9.5000000000000001E-2</v>
      </c>
      <c r="D93" s="1">
        <f t="shared" si="54"/>
        <v>-2.8999999999999998E-2</v>
      </c>
      <c r="E93" s="1">
        <v>9.8000000000000004E-2</v>
      </c>
      <c r="F93">
        <f t="shared" si="55"/>
        <v>-1.999999999999999E-2</v>
      </c>
      <c r="G93" s="1">
        <v>9.8000000000000004E-2</v>
      </c>
      <c r="H93">
        <f t="shared" si="56"/>
        <v>-3.6000000000000004E-2</v>
      </c>
      <c r="I93" s="1">
        <v>0.16200000000000001</v>
      </c>
      <c r="J93">
        <f t="shared" si="57"/>
        <v>-9.9999999999999811E-3</v>
      </c>
      <c r="K93" s="1">
        <v>0.254</v>
      </c>
      <c r="L93">
        <f t="shared" si="58"/>
        <v>7.8000000000000014E-2</v>
      </c>
      <c r="M93" s="1">
        <v>0.224</v>
      </c>
      <c r="N93">
        <f t="shared" si="59"/>
        <v>5.6999999999999995E-2</v>
      </c>
      <c r="O93" s="1">
        <v>0.39900000000000002</v>
      </c>
      <c r="P93">
        <f t="shared" si="60"/>
        <v>0.23200000000000001</v>
      </c>
      <c r="Q93" s="1">
        <v>0.371</v>
      </c>
      <c r="R93">
        <f t="shared" si="61"/>
        <v>0.19999999999999998</v>
      </c>
      <c r="S93" s="1">
        <v>0.49099999999999999</v>
      </c>
      <c r="T93">
        <f t="shared" si="62"/>
        <v>0.29499999999999998</v>
      </c>
      <c r="U93" s="1">
        <v>0.437</v>
      </c>
      <c r="V93">
        <f t="shared" si="63"/>
        <v>0.247</v>
      </c>
      <c r="W93" s="1">
        <v>0.45200000000000001</v>
      </c>
      <c r="X93">
        <f t="shared" si="64"/>
        <v>0.26800000000000002</v>
      </c>
      <c r="Y93" s="1">
        <v>0.50600000000000001</v>
      </c>
      <c r="Z93">
        <f t="shared" si="65"/>
        <v>0.27900000000000003</v>
      </c>
      <c r="AA93" s="1">
        <v>0.46300000000000002</v>
      </c>
      <c r="AB93">
        <f t="shared" si="66"/>
        <v>0.27100000000000002</v>
      </c>
      <c r="AC93" s="1">
        <v>0.434</v>
      </c>
      <c r="AD93">
        <f t="shared" si="67"/>
        <v>0.25900000000000001</v>
      </c>
      <c r="AE93" s="1">
        <v>0.52900000000000003</v>
      </c>
      <c r="AF93">
        <f t="shared" si="68"/>
        <v>0.31300000000000006</v>
      </c>
      <c r="AG93">
        <v>0.46500000000000002</v>
      </c>
      <c r="AH93">
        <f t="shared" si="69"/>
        <v>0.30100000000000005</v>
      </c>
      <c r="AI93">
        <v>0.42499999999999999</v>
      </c>
      <c r="AJ93">
        <f t="shared" si="70"/>
        <v>0.249</v>
      </c>
      <c r="AK93">
        <v>0.52400000000000002</v>
      </c>
      <c r="AL93">
        <f t="shared" si="71"/>
        <v>0.32100000000000001</v>
      </c>
      <c r="AM93" s="1">
        <v>0.10199999999999999</v>
      </c>
      <c r="AN93" s="2">
        <f t="shared" si="72"/>
        <v>-9.000000000000008E-3</v>
      </c>
      <c r="AO93" s="1">
        <v>0.104</v>
      </c>
      <c r="AP93" s="2">
        <f t="shared" si="73"/>
        <v>-5.0000000000000044E-3</v>
      </c>
      <c r="AQ93" s="1">
        <v>0.10199999999999999</v>
      </c>
      <c r="AR93" s="2">
        <f t="shared" si="74"/>
        <v>-1.0000000000000009E-2</v>
      </c>
      <c r="AS93" s="1">
        <v>0.126</v>
      </c>
      <c r="AT93" s="2">
        <f t="shared" si="75"/>
        <v>-7.0000000000000007E-2</v>
      </c>
      <c r="AU93" s="1">
        <v>0.128</v>
      </c>
      <c r="AV93" s="2">
        <f t="shared" si="76"/>
        <v>-7.0000000000000007E-2</v>
      </c>
      <c r="AW93" s="1">
        <v>0.14399999999999999</v>
      </c>
      <c r="AX93" s="2">
        <f t="shared" si="77"/>
        <v>-6.2E-2</v>
      </c>
      <c r="AY93" s="1">
        <v>0.13400000000000001</v>
      </c>
      <c r="AZ93">
        <f t="shared" si="78"/>
        <v>-7.4999999999999983E-2</v>
      </c>
      <c r="BA93" s="1">
        <v>0.14299999999999999</v>
      </c>
      <c r="BB93">
        <f t="shared" si="79"/>
        <v>-6.3E-2</v>
      </c>
      <c r="BC93" s="1">
        <v>0.14499999999999999</v>
      </c>
      <c r="BD93">
        <f t="shared" si="80"/>
        <v>-6.9000000000000006E-2</v>
      </c>
      <c r="BE93" s="1">
        <v>0.14299999999999999</v>
      </c>
      <c r="BF93">
        <f t="shared" si="81"/>
        <v>-7.400000000000001E-2</v>
      </c>
      <c r="BG93" s="1">
        <v>0.14799999999999999</v>
      </c>
      <c r="BH93">
        <f t="shared" si="82"/>
        <v>-5.6999999999999995E-2</v>
      </c>
      <c r="BI93" s="1">
        <v>0.156</v>
      </c>
      <c r="BJ93">
        <f t="shared" si="83"/>
        <v>-4.9999999999999989E-2</v>
      </c>
      <c r="BK93" s="1">
        <v>0.14799999999999999</v>
      </c>
      <c r="BL93">
        <f t="shared" si="84"/>
        <v>-7.1000000000000008E-2</v>
      </c>
      <c r="BM93" s="1">
        <v>0.16400000000000001</v>
      </c>
      <c r="BN93">
        <f t="shared" si="85"/>
        <v>-5.1999999999999991E-2</v>
      </c>
      <c r="BO93" s="1">
        <v>0.17199999999999999</v>
      </c>
      <c r="BP93">
        <f t="shared" si="86"/>
        <v>-4.9000000000000016E-2</v>
      </c>
      <c r="BQ93">
        <v>0.15</v>
      </c>
      <c r="BR93">
        <f t="shared" si="87"/>
        <v>-6.9000000000000006E-2</v>
      </c>
      <c r="BS93">
        <v>0.16700000000000001</v>
      </c>
      <c r="BT93">
        <f t="shared" si="88"/>
        <v>-3.5000000000000003E-2</v>
      </c>
      <c r="BU93">
        <v>0.17599999999999999</v>
      </c>
      <c r="BV93">
        <f t="shared" si="89"/>
        <v>-4.8000000000000015E-2</v>
      </c>
      <c r="BW93" s="1">
        <v>0.10100000000000001</v>
      </c>
      <c r="BX93" s="2">
        <f t="shared" si="90"/>
        <v>-5.7999999999999996E-2</v>
      </c>
      <c r="BY93" s="1">
        <v>0.1</v>
      </c>
      <c r="BZ93" s="2">
        <f t="shared" si="91"/>
        <v>-3.9999999999999897E-3</v>
      </c>
      <c r="CA93" s="1">
        <v>9.4E-2</v>
      </c>
      <c r="CB93" s="2">
        <f t="shared" si="92"/>
        <v>-0.39500000000000002</v>
      </c>
      <c r="CC93" s="1">
        <v>0.123</v>
      </c>
      <c r="CD93" s="2">
        <f t="shared" si="93"/>
        <v>-9.1999999999999998E-2</v>
      </c>
      <c r="CE93" s="1">
        <v>0.11899999999999999</v>
      </c>
      <c r="CF93" s="2">
        <f t="shared" si="94"/>
        <v>-6.3E-2</v>
      </c>
      <c r="CG93" s="1">
        <v>0.161</v>
      </c>
      <c r="CH93" s="2">
        <f t="shared" si="95"/>
        <v>-0.03</v>
      </c>
      <c r="CI93" s="1">
        <v>0.13100000000000001</v>
      </c>
      <c r="CJ93">
        <f t="shared" si="96"/>
        <v>-7.8999999999999987E-2</v>
      </c>
      <c r="CK93" s="1">
        <v>0.129</v>
      </c>
      <c r="CL93">
        <f t="shared" si="97"/>
        <v>-6.6000000000000003E-2</v>
      </c>
      <c r="CM93" s="1">
        <v>0.127</v>
      </c>
      <c r="CN93">
        <f t="shared" si="98"/>
        <v>-7.9999999999999988E-2</v>
      </c>
      <c r="CO93" s="1">
        <v>0.14799999999999999</v>
      </c>
      <c r="CP93">
        <f t="shared" si="99"/>
        <v>-6.9000000000000006E-2</v>
      </c>
      <c r="CQ93" s="1">
        <v>0.14599999999999999</v>
      </c>
      <c r="CR93">
        <f t="shared" si="100"/>
        <v>-5.3000000000000019E-2</v>
      </c>
      <c r="CS93" s="1">
        <v>0.14599999999999999</v>
      </c>
      <c r="CT93">
        <f t="shared" si="101"/>
        <v>-5.400000000000002E-2</v>
      </c>
      <c r="CU93" s="1">
        <v>0.159</v>
      </c>
      <c r="CV93">
        <f t="shared" si="102"/>
        <v>-6.0999999999999999E-2</v>
      </c>
      <c r="CW93" s="1">
        <v>0.161</v>
      </c>
      <c r="CX93">
        <f t="shared" si="103"/>
        <v>-4.4999999999999984E-2</v>
      </c>
      <c r="CY93" s="1">
        <v>0.15</v>
      </c>
      <c r="CZ93">
        <f t="shared" si="104"/>
        <v>-5.7999999999999996E-2</v>
      </c>
      <c r="DA93">
        <v>0.16200000000000001</v>
      </c>
      <c r="DB93">
        <f t="shared" si="105"/>
        <v>-5.3999999999999992E-2</v>
      </c>
      <c r="DC93">
        <v>0.156</v>
      </c>
      <c r="DD93">
        <f t="shared" si="106"/>
        <v>-4.7000000000000014E-2</v>
      </c>
      <c r="DE93">
        <v>0.153</v>
      </c>
      <c r="DF93">
        <f t="shared" si="107"/>
        <v>-5.1999999999999991E-2</v>
      </c>
    </row>
    <row r="94" spans="1:110">
      <c r="A94" t="s">
        <v>239</v>
      </c>
      <c r="B94" t="s">
        <v>240</v>
      </c>
      <c r="C94" s="1">
        <v>0.106</v>
      </c>
      <c r="D94" s="1">
        <f t="shared" si="54"/>
        <v>-1.8000000000000002E-2</v>
      </c>
      <c r="E94" s="1">
        <v>0.105</v>
      </c>
      <c r="F94">
        <f t="shared" si="55"/>
        <v>-1.2999999999999998E-2</v>
      </c>
      <c r="G94" s="1">
        <v>0.104</v>
      </c>
      <c r="H94">
        <f t="shared" si="56"/>
        <v>-3.0000000000000013E-2</v>
      </c>
      <c r="I94" s="1">
        <v>0.11</v>
      </c>
      <c r="J94">
        <f t="shared" si="57"/>
        <v>-6.1999999999999986E-2</v>
      </c>
      <c r="K94" s="1">
        <v>0.123</v>
      </c>
      <c r="L94">
        <f t="shared" si="58"/>
        <v>-5.2999999999999992E-2</v>
      </c>
      <c r="M94" s="1">
        <v>0.11600000000000001</v>
      </c>
      <c r="N94">
        <f t="shared" si="59"/>
        <v>-5.1000000000000004E-2</v>
      </c>
      <c r="O94" s="1">
        <v>0.11600000000000001</v>
      </c>
      <c r="P94">
        <f t="shared" si="60"/>
        <v>-5.1000000000000004E-2</v>
      </c>
      <c r="Q94" s="1">
        <v>0.13900000000000001</v>
      </c>
      <c r="R94">
        <f t="shared" si="61"/>
        <v>-3.2000000000000001E-2</v>
      </c>
      <c r="S94" s="1">
        <v>0.13</v>
      </c>
      <c r="T94">
        <f t="shared" si="62"/>
        <v>-6.6000000000000003E-2</v>
      </c>
      <c r="U94" s="1">
        <v>0.11899999999999999</v>
      </c>
      <c r="V94">
        <f t="shared" si="63"/>
        <v>-7.1000000000000008E-2</v>
      </c>
      <c r="W94" s="1">
        <v>0.15</v>
      </c>
      <c r="X94">
        <f t="shared" si="64"/>
        <v>-3.4000000000000002E-2</v>
      </c>
      <c r="Y94" s="1">
        <v>0.13400000000000001</v>
      </c>
      <c r="Z94">
        <f t="shared" si="65"/>
        <v>-9.2999999999999999E-2</v>
      </c>
      <c r="AA94" s="1">
        <v>0.25700000000000001</v>
      </c>
      <c r="AB94">
        <f t="shared" si="66"/>
        <v>6.5000000000000002E-2</v>
      </c>
      <c r="AC94" s="1">
        <v>0.154</v>
      </c>
      <c r="AD94">
        <f t="shared" si="67"/>
        <v>-2.0999999999999991E-2</v>
      </c>
      <c r="AE94" s="1">
        <v>0.14099999999999999</v>
      </c>
      <c r="AF94">
        <f t="shared" si="68"/>
        <v>-7.5000000000000011E-2</v>
      </c>
      <c r="AG94">
        <v>0.11600000000000001</v>
      </c>
      <c r="AH94">
        <f t="shared" si="69"/>
        <v>-4.8000000000000001E-2</v>
      </c>
      <c r="AI94">
        <v>0.158</v>
      </c>
      <c r="AJ94">
        <f t="shared" si="70"/>
        <v>-1.7999999999999988E-2</v>
      </c>
      <c r="AK94">
        <v>0.14399999999999999</v>
      </c>
      <c r="AL94">
        <f t="shared" si="71"/>
        <v>-5.9000000000000025E-2</v>
      </c>
      <c r="AM94" s="1">
        <v>0.104</v>
      </c>
      <c r="AN94" s="2">
        <f t="shared" si="72"/>
        <v>-7.0000000000000062E-3</v>
      </c>
      <c r="AO94" s="1">
        <v>0.108</v>
      </c>
      <c r="AP94" s="2">
        <f t="shared" si="73"/>
        <v>-1.0000000000000009E-3</v>
      </c>
      <c r="AQ94" s="1">
        <v>0.109</v>
      </c>
      <c r="AR94" s="2">
        <f t="shared" si="74"/>
        <v>-3.0000000000000027E-3</v>
      </c>
      <c r="AS94" s="1">
        <v>0.14899999999999999</v>
      </c>
      <c r="AT94" s="2">
        <f t="shared" si="75"/>
        <v>-4.7000000000000014E-2</v>
      </c>
      <c r="AU94" s="1">
        <v>0.156</v>
      </c>
      <c r="AV94" s="2">
        <f t="shared" si="76"/>
        <v>-4.200000000000001E-2</v>
      </c>
      <c r="AW94" s="1">
        <v>0.159</v>
      </c>
      <c r="AX94" s="2">
        <f t="shared" si="77"/>
        <v>-4.6999999999999986E-2</v>
      </c>
      <c r="AY94" s="1">
        <v>0.17499999999999999</v>
      </c>
      <c r="AZ94">
        <f t="shared" si="78"/>
        <v>-3.4000000000000002E-2</v>
      </c>
      <c r="BA94" s="1">
        <v>0.189</v>
      </c>
      <c r="BB94">
        <f t="shared" si="79"/>
        <v>-1.6999999999999987E-2</v>
      </c>
      <c r="BC94" s="1">
        <v>0.191</v>
      </c>
      <c r="BD94">
        <f t="shared" si="80"/>
        <v>-2.2999999999999993E-2</v>
      </c>
      <c r="BE94" s="1">
        <v>0.20399999999999999</v>
      </c>
      <c r="BF94">
        <f t="shared" si="81"/>
        <v>-1.3000000000000012E-2</v>
      </c>
      <c r="BG94" s="1">
        <v>0.22800000000000001</v>
      </c>
      <c r="BH94">
        <f t="shared" si="82"/>
        <v>2.300000000000002E-2</v>
      </c>
      <c r="BI94" s="1">
        <v>0.222</v>
      </c>
      <c r="BJ94">
        <f t="shared" si="83"/>
        <v>1.6000000000000014E-2</v>
      </c>
      <c r="BK94" s="1">
        <v>0.22900000000000001</v>
      </c>
      <c r="BL94">
        <f t="shared" si="84"/>
        <v>1.0000000000000009E-2</v>
      </c>
      <c r="BM94" s="1">
        <v>0.25800000000000001</v>
      </c>
      <c r="BN94">
        <f t="shared" si="85"/>
        <v>4.200000000000001E-2</v>
      </c>
      <c r="BO94" s="1">
        <v>0.248</v>
      </c>
      <c r="BP94">
        <f t="shared" si="86"/>
        <v>2.6999999999999996E-2</v>
      </c>
      <c r="BQ94">
        <v>0.247</v>
      </c>
      <c r="BR94">
        <f t="shared" si="87"/>
        <v>2.7999999999999997E-2</v>
      </c>
      <c r="BS94">
        <v>0.28100000000000003</v>
      </c>
      <c r="BT94">
        <f t="shared" si="88"/>
        <v>7.9000000000000015E-2</v>
      </c>
      <c r="BU94">
        <v>0.27</v>
      </c>
      <c r="BV94">
        <f t="shared" si="89"/>
        <v>4.6000000000000013E-2</v>
      </c>
      <c r="BW94" s="1">
        <v>0.108</v>
      </c>
      <c r="BX94" s="2">
        <f t="shared" si="90"/>
        <v>-5.1000000000000004E-2</v>
      </c>
      <c r="BY94" s="1">
        <v>0.10100000000000001</v>
      </c>
      <c r="BZ94" s="2">
        <f t="shared" si="91"/>
        <v>-2.9999999999999888E-3</v>
      </c>
      <c r="CA94" s="1">
        <v>0.10299999999999999</v>
      </c>
      <c r="CB94" s="2">
        <f t="shared" si="92"/>
        <v>-0.38600000000000001</v>
      </c>
      <c r="CC94" s="1">
        <v>0.13600000000000001</v>
      </c>
      <c r="CD94" s="2">
        <f t="shared" si="93"/>
        <v>-7.8999999999999987E-2</v>
      </c>
      <c r="CE94" s="1">
        <v>0.122</v>
      </c>
      <c r="CF94" s="2">
        <f t="shared" si="94"/>
        <v>-0.06</v>
      </c>
      <c r="CG94" s="1">
        <v>0.16800000000000001</v>
      </c>
      <c r="CH94" s="2">
        <f t="shared" si="95"/>
        <v>-2.2999999999999993E-2</v>
      </c>
      <c r="CI94" s="1">
        <v>0.16800000000000001</v>
      </c>
      <c r="CJ94">
        <f t="shared" si="96"/>
        <v>-4.1999999999999982E-2</v>
      </c>
      <c r="CK94" s="1">
        <v>0.14299999999999999</v>
      </c>
      <c r="CL94">
        <f t="shared" si="97"/>
        <v>-5.2000000000000018E-2</v>
      </c>
      <c r="CM94" s="1">
        <v>0.13500000000000001</v>
      </c>
      <c r="CN94">
        <f t="shared" si="98"/>
        <v>-7.1999999999999981E-2</v>
      </c>
      <c r="CO94" s="1">
        <v>0.19800000000000001</v>
      </c>
      <c r="CP94">
        <f t="shared" si="99"/>
        <v>-1.8999999999999989E-2</v>
      </c>
      <c r="CQ94" s="1">
        <v>0.16300000000000001</v>
      </c>
      <c r="CR94">
        <f t="shared" si="100"/>
        <v>-3.6000000000000004E-2</v>
      </c>
      <c r="CS94" s="1">
        <v>0.14899999999999999</v>
      </c>
      <c r="CT94">
        <f t="shared" si="101"/>
        <v>-5.1000000000000018E-2</v>
      </c>
      <c r="CU94" s="1">
        <v>0.214</v>
      </c>
      <c r="CV94">
        <f t="shared" si="102"/>
        <v>-6.0000000000000053E-3</v>
      </c>
      <c r="CW94" s="1">
        <v>0.16900000000000001</v>
      </c>
      <c r="CX94">
        <f t="shared" si="103"/>
        <v>-3.6999999999999977E-2</v>
      </c>
      <c r="CY94" s="1">
        <v>0.156</v>
      </c>
      <c r="CZ94">
        <f t="shared" si="104"/>
        <v>-5.1999999999999991E-2</v>
      </c>
      <c r="DA94">
        <v>0.22800000000000001</v>
      </c>
      <c r="DB94">
        <f t="shared" si="105"/>
        <v>1.2000000000000011E-2</v>
      </c>
      <c r="DC94">
        <v>0.17899999999999999</v>
      </c>
      <c r="DD94">
        <f t="shared" si="106"/>
        <v>-2.4000000000000021E-2</v>
      </c>
      <c r="DE94">
        <v>0.16400000000000001</v>
      </c>
      <c r="DF94">
        <f t="shared" si="107"/>
        <v>-4.0999999999999981E-2</v>
      </c>
    </row>
    <row r="95" spans="1:110">
      <c r="A95" t="s">
        <v>241</v>
      </c>
      <c r="B95" t="s">
        <v>242</v>
      </c>
      <c r="C95" s="1">
        <v>0.10299999999999999</v>
      </c>
      <c r="D95" s="1">
        <f t="shared" si="54"/>
        <v>-2.1000000000000005E-2</v>
      </c>
      <c r="E95" s="1">
        <v>0.11899999999999999</v>
      </c>
      <c r="F95">
        <f t="shared" si="55"/>
        <v>1.0000000000000009E-3</v>
      </c>
      <c r="G95" s="1">
        <v>0.106</v>
      </c>
      <c r="H95">
        <f t="shared" si="56"/>
        <v>-2.8000000000000011E-2</v>
      </c>
      <c r="I95" s="1">
        <v>0.112</v>
      </c>
      <c r="J95">
        <f t="shared" si="57"/>
        <v>-5.9999999999999984E-2</v>
      </c>
      <c r="K95" s="1">
        <v>0.13500000000000001</v>
      </c>
      <c r="L95">
        <f t="shared" si="58"/>
        <v>-4.0999999999999981E-2</v>
      </c>
      <c r="M95" s="1">
        <v>0.122</v>
      </c>
      <c r="N95">
        <f t="shared" si="59"/>
        <v>-4.5000000000000012E-2</v>
      </c>
      <c r="O95" s="1">
        <v>0.14399999999999999</v>
      </c>
      <c r="P95">
        <f t="shared" si="60"/>
        <v>-2.300000000000002E-2</v>
      </c>
      <c r="Q95" s="1">
        <v>0.36</v>
      </c>
      <c r="R95">
        <f t="shared" si="61"/>
        <v>0.18899999999999997</v>
      </c>
      <c r="S95" s="1">
        <v>0.249</v>
      </c>
      <c r="T95">
        <f t="shared" si="62"/>
        <v>5.2999999999999992E-2</v>
      </c>
      <c r="U95" s="1">
        <v>0.17</v>
      </c>
      <c r="V95">
        <f t="shared" si="63"/>
        <v>-1.999999999999999E-2</v>
      </c>
      <c r="W95" s="1">
        <v>0.496</v>
      </c>
      <c r="X95">
        <f t="shared" si="64"/>
        <v>0.312</v>
      </c>
      <c r="Y95" s="1">
        <v>0.49</v>
      </c>
      <c r="Z95">
        <f t="shared" si="65"/>
        <v>0.26300000000000001</v>
      </c>
      <c r="AA95" s="1">
        <v>0.35199999999999998</v>
      </c>
      <c r="AB95">
        <f t="shared" si="66"/>
        <v>0.15999999999999998</v>
      </c>
      <c r="AC95" s="1">
        <v>0.54100000000000004</v>
      </c>
      <c r="AD95">
        <f t="shared" si="67"/>
        <v>0.36600000000000005</v>
      </c>
      <c r="AE95" s="1">
        <v>0.52900000000000003</v>
      </c>
      <c r="AF95">
        <f t="shared" si="68"/>
        <v>0.31300000000000006</v>
      </c>
      <c r="AG95">
        <v>0.18099999999999999</v>
      </c>
      <c r="AH95">
        <f t="shared" si="69"/>
        <v>1.6999999999999987E-2</v>
      </c>
      <c r="AI95">
        <v>0.65600000000000003</v>
      </c>
      <c r="AJ95">
        <f t="shared" si="70"/>
        <v>0.48000000000000004</v>
      </c>
      <c r="AK95">
        <v>0.57899999999999996</v>
      </c>
      <c r="AL95">
        <f t="shared" si="71"/>
        <v>0.37599999999999995</v>
      </c>
      <c r="AM95" s="1">
        <v>0.109</v>
      </c>
      <c r="AN95" s="2">
        <f t="shared" si="72"/>
        <v>-2.0000000000000018E-3</v>
      </c>
      <c r="AO95" s="1">
        <v>0.11</v>
      </c>
      <c r="AP95" s="2">
        <f t="shared" si="73"/>
        <v>1.0000000000000009E-3</v>
      </c>
      <c r="AQ95" s="1">
        <v>0.109</v>
      </c>
      <c r="AR95" s="2">
        <f t="shared" si="74"/>
        <v>-3.0000000000000027E-3</v>
      </c>
      <c r="AS95" s="1">
        <v>0.14099999999999999</v>
      </c>
      <c r="AT95" s="2">
        <f t="shared" si="75"/>
        <v>-5.5000000000000021E-2</v>
      </c>
      <c r="AU95" s="1">
        <v>0.13500000000000001</v>
      </c>
      <c r="AV95" s="2">
        <f t="shared" si="76"/>
        <v>-6.3E-2</v>
      </c>
      <c r="AW95" s="1">
        <v>0.13600000000000001</v>
      </c>
      <c r="AX95" s="2">
        <f t="shared" si="77"/>
        <v>-6.9999999999999979E-2</v>
      </c>
      <c r="AY95" s="1">
        <v>0.24</v>
      </c>
      <c r="AZ95">
        <f t="shared" si="78"/>
        <v>3.1E-2</v>
      </c>
      <c r="BA95" s="1">
        <v>0.253</v>
      </c>
      <c r="BB95">
        <f t="shared" si="79"/>
        <v>4.7000000000000014E-2</v>
      </c>
      <c r="BC95" s="1">
        <v>0.30099999999999999</v>
      </c>
      <c r="BD95">
        <f t="shared" si="80"/>
        <v>8.6999999999999994E-2</v>
      </c>
      <c r="BE95" s="1">
        <v>0.56100000000000005</v>
      </c>
      <c r="BF95">
        <f t="shared" si="81"/>
        <v>0.34400000000000008</v>
      </c>
      <c r="BG95" s="1">
        <v>0.71399999999999997</v>
      </c>
      <c r="BH95">
        <f t="shared" si="82"/>
        <v>0.50900000000000001</v>
      </c>
      <c r="BI95" s="1">
        <v>0.82199999999999995</v>
      </c>
      <c r="BJ95">
        <f t="shared" si="83"/>
        <v>0.61599999999999999</v>
      </c>
      <c r="BK95" s="1">
        <v>0.99099999999999999</v>
      </c>
      <c r="BL95">
        <f t="shared" si="84"/>
        <v>0.77200000000000002</v>
      </c>
      <c r="BM95" s="1">
        <v>0.95099999999999996</v>
      </c>
      <c r="BN95">
        <f t="shared" si="85"/>
        <v>0.73499999999999999</v>
      </c>
      <c r="BO95" s="1">
        <v>1.0329999999999999</v>
      </c>
      <c r="BP95">
        <f t="shared" si="86"/>
        <v>0.81199999999999994</v>
      </c>
      <c r="BQ95">
        <v>1.1040000000000001</v>
      </c>
      <c r="BR95">
        <f t="shared" si="87"/>
        <v>0.88500000000000012</v>
      </c>
      <c r="BS95">
        <v>1.054</v>
      </c>
      <c r="BT95">
        <f t="shared" si="88"/>
        <v>0.85200000000000009</v>
      </c>
      <c r="BU95">
        <v>1.111</v>
      </c>
      <c r="BV95">
        <f t="shared" si="89"/>
        <v>0.88700000000000001</v>
      </c>
      <c r="BW95" s="1">
        <v>0.124</v>
      </c>
      <c r="BX95" s="2">
        <f t="shared" si="90"/>
        <v>-3.5000000000000003E-2</v>
      </c>
      <c r="BY95" s="1">
        <v>0.106</v>
      </c>
      <c r="BZ95" s="2">
        <f t="shared" si="91"/>
        <v>2.0000000000000018E-3</v>
      </c>
      <c r="CA95" s="1">
        <v>0.104</v>
      </c>
      <c r="CB95" s="2">
        <f t="shared" si="92"/>
        <v>-0.38500000000000001</v>
      </c>
      <c r="CC95" s="1">
        <v>0.13400000000000001</v>
      </c>
      <c r="CD95" s="2">
        <f t="shared" si="93"/>
        <v>-8.0999999999999989E-2</v>
      </c>
      <c r="CE95" s="1">
        <v>0.123</v>
      </c>
      <c r="CF95" s="2">
        <f t="shared" si="94"/>
        <v>-5.8999999999999997E-2</v>
      </c>
      <c r="CG95" s="1">
        <v>0.129</v>
      </c>
      <c r="CH95" s="2">
        <f t="shared" si="95"/>
        <v>-6.2E-2</v>
      </c>
      <c r="CI95" s="1">
        <v>0.20300000000000001</v>
      </c>
      <c r="CJ95">
        <f t="shared" si="96"/>
        <v>-6.9999999999999785E-3</v>
      </c>
      <c r="CK95" s="1">
        <v>0.248</v>
      </c>
      <c r="CL95">
        <f t="shared" si="97"/>
        <v>5.2999999999999992E-2</v>
      </c>
      <c r="CM95" s="1">
        <v>0.124</v>
      </c>
      <c r="CN95">
        <f t="shared" si="98"/>
        <v>-8.299999999999999E-2</v>
      </c>
      <c r="CO95" s="1">
        <v>0.60099999999999998</v>
      </c>
      <c r="CP95">
        <f t="shared" si="99"/>
        <v>0.38400000000000001</v>
      </c>
      <c r="CQ95" s="1">
        <v>0.73199999999999998</v>
      </c>
      <c r="CR95">
        <f t="shared" si="100"/>
        <v>0.53299999999999992</v>
      </c>
      <c r="CS95" s="1">
        <v>0.16400000000000001</v>
      </c>
      <c r="CT95">
        <f t="shared" si="101"/>
        <v>-3.6000000000000004E-2</v>
      </c>
      <c r="CU95" s="1">
        <v>0.92500000000000004</v>
      </c>
      <c r="CV95">
        <f t="shared" si="102"/>
        <v>0.70500000000000007</v>
      </c>
      <c r="CW95" s="1">
        <v>0.96</v>
      </c>
      <c r="CX95">
        <f t="shared" si="103"/>
        <v>0.754</v>
      </c>
      <c r="CY95" s="1">
        <v>0.48499999999999999</v>
      </c>
      <c r="CZ95">
        <f t="shared" si="104"/>
        <v>0.27700000000000002</v>
      </c>
      <c r="DA95">
        <v>1.012</v>
      </c>
      <c r="DB95">
        <f t="shared" si="105"/>
        <v>0.79600000000000004</v>
      </c>
      <c r="DC95">
        <v>1.052</v>
      </c>
      <c r="DD95">
        <f t="shared" si="106"/>
        <v>0.84899999999999998</v>
      </c>
      <c r="DE95">
        <v>0.72</v>
      </c>
      <c r="DF95">
        <f t="shared" si="107"/>
        <v>0.51500000000000001</v>
      </c>
    </row>
    <row r="96" spans="1:110">
      <c r="A96" t="s">
        <v>243</v>
      </c>
      <c r="B96" t="s">
        <v>244</v>
      </c>
      <c r="C96" s="1">
        <v>0.1</v>
      </c>
      <c r="D96" s="1">
        <f t="shared" si="54"/>
        <v>-2.3999999999999994E-2</v>
      </c>
      <c r="E96" s="1">
        <v>0.13100000000000001</v>
      </c>
      <c r="F96">
        <f t="shared" si="55"/>
        <v>1.3000000000000012E-2</v>
      </c>
      <c r="G96" s="1">
        <v>0.115</v>
      </c>
      <c r="H96">
        <f t="shared" si="56"/>
        <v>-1.9000000000000003E-2</v>
      </c>
      <c r="I96" s="1">
        <v>0.14899999999999999</v>
      </c>
      <c r="J96">
        <f t="shared" si="57"/>
        <v>-2.2999999999999993E-2</v>
      </c>
      <c r="K96" s="1">
        <v>0.19800000000000001</v>
      </c>
      <c r="L96">
        <f t="shared" si="58"/>
        <v>2.200000000000002E-2</v>
      </c>
      <c r="M96" s="1">
        <v>0.184</v>
      </c>
      <c r="N96">
        <f t="shared" si="59"/>
        <v>1.6999999999999987E-2</v>
      </c>
      <c r="O96" s="1">
        <v>0.13</v>
      </c>
      <c r="P96">
        <f t="shared" si="60"/>
        <v>-3.7000000000000005E-2</v>
      </c>
      <c r="Q96" s="1">
        <v>0.17899999999999999</v>
      </c>
      <c r="R96">
        <f t="shared" si="61"/>
        <v>7.9999999999999793E-3</v>
      </c>
      <c r="S96" s="1">
        <v>0.155</v>
      </c>
      <c r="T96">
        <f t="shared" si="62"/>
        <v>-4.1000000000000009E-2</v>
      </c>
      <c r="U96" s="1">
        <v>0.123</v>
      </c>
      <c r="V96">
        <f t="shared" si="63"/>
        <v>-6.7000000000000004E-2</v>
      </c>
      <c r="W96" s="1">
        <v>0.152</v>
      </c>
      <c r="X96">
        <f t="shared" si="64"/>
        <v>-3.2000000000000001E-2</v>
      </c>
      <c r="Y96" s="1">
        <v>0.14000000000000001</v>
      </c>
      <c r="Z96">
        <f t="shared" si="65"/>
        <v>-8.6999999999999994E-2</v>
      </c>
      <c r="AA96" s="1">
        <v>0.249</v>
      </c>
      <c r="AB96">
        <f t="shared" si="66"/>
        <v>5.6999999999999995E-2</v>
      </c>
      <c r="AC96" s="1">
        <v>0.156</v>
      </c>
      <c r="AD96">
        <f t="shared" si="67"/>
        <v>-1.8999999999999989E-2</v>
      </c>
      <c r="AE96" s="1">
        <v>0.14499999999999999</v>
      </c>
      <c r="AF96">
        <f t="shared" si="68"/>
        <v>-7.1000000000000008E-2</v>
      </c>
      <c r="AG96">
        <v>0.16600000000000001</v>
      </c>
      <c r="AH96">
        <f t="shared" si="69"/>
        <v>2.0000000000000018E-3</v>
      </c>
      <c r="AI96">
        <v>0.157</v>
      </c>
      <c r="AJ96">
        <f t="shared" si="70"/>
        <v>-1.8999999999999989E-2</v>
      </c>
      <c r="AK96">
        <v>0.14399999999999999</v>
      </c>
      <c r="AL96">
        <f t="shared" si="71"/>
        <v>-5.9000000000000025E-2</v>
      </c>
      <c r="AM96" s="1">
        <v>0.111</v>
      </c>
      <c r="AN96" s="2">
        <f t="shared" si="72"/>
        <v>0</v>
      </c>
      <c r="AO96" s="1">
        <v>0.107</v>
      </c>
      <c r="AP96" s="2">
        <f t="shared" si="73"/>
        <v>-2.0000000000000018E-3</v>
      </c>
      <c r="AQ96" s="1">
        <v>0.109</v>
      </c>
      <c r="AR96" s="2">
        <f t="shared" si="74"/>
        <v>-3.0000000000000027E-3</v>
      </c>
      <c r="AS96" s="1">
        <v>0.27300000000000002</v>
      </c>
      <c r="AT96" s="2">
        <f t="shared" si="75"/>
        <v>7.7000000000000013E-2</v>
      </c>
      <c r="AU96" s="1">
        <v>0.27700000000000002</v>
      </c>
      <c r="AV96" s="2">
        <f t="shared" si="76"/>
        <v>7.9000000000000015E-2</v>
      </c>
      <c r="AW96" s="1">
        <v>0.26200000000000001</v>
      </c>
      <c r="AX96" s="2">
        <f t="shared" si="77"/>
        <v>5.6000000000000022E-2</v>
      </c>
      <c r="AY96" s="1">
        <v>0.33900000000000002</v>
      </c>
      <c r="AZ96">
        <f t="shared" si="78"/>
        <v>0.13000000000000003</v>
      </c>
      <c r="BA96" s="1">
        <v>0.33700000000000002</v>
      </c>
      <c r="BB96">
        <f t="shared" si="79"/>
        <v>0.13100000000000003</v>
      </c>
      <c r="BC96" s="1">
        <v>0.316</v>
      </c>
      <c r="BD96">
        <f t="shared" si="80"/>
        <v>0.10200000000000001</v>
      </c>
      <c r="BE96" s="1">
        <v>0.41</v>
      </c>
      <c r="BF96">
        <f t="shared" si="81"/>
        <v>0.19299999999999998</v>
      </c>
      <c r="BG96" s="1">
        <v>0.41299999999999998</v>
      </c>
      <c r="BH96">
        <f t="shared" si="82"/>
        <v>0.20799999999999999</v>
      </c>
      <c r="BI96" s="1">
        <v>0.38300000000000001</v>
      </c>
      <c r="BJ96">
        <f t="shared" si="83"/>
        <v>0.17700000000000002</v>
      </c>
      <c r="BK96" s="1">
        <v>0.60099999999999998</v>
      </c>
      <c r="BL96">
        <f t="shared" si="84"/>
        <v>0.38200000000000001</v>
      </c>
      <c r="BM96" s="1">
        <v>0.68700000000000006</v>
      </c>
      <c r="BN96">
        <f t="shared" si="85"/>
        <v>0.47100000000000009</v>
      </c>
      <c r="BO96" s="1">
        <v>0.64700000000000002</v>
      </c>
      <c r="BP96">
        <f t="shared" si="86"/>
        <v>0.42600000000000005</v>
      </c>
      <c r="BQ96">
        <v>0.83299999999999996</v>
      </c>
      <c r="BR96">
        <f t="shared" si="87"/>
        <v>0.61399999999999999</v>
      </c>
      <c r="BS96">
        <v>0.88200000000000001</v>
      </c>
      <c r="BT96">
        <f t="shared" si="88"/>
        <v>0.67999999999999994</v>
      </c>
      <c r="BU96">
        <v>0.86299999999999999</v>
      </c>
      <c r="BV96">
        <f t="shared" si="89"/>
        <v>0.63900000000000001</v>
      </c>
      <c r="BW96" s="1">
        <v>0.11899999999999999</v>
      </c>
      <c r="BX96" s="2">
        <f t="shared" si="90"/>
        <v>-4.0000000000000008E-2</v>
      </c>
      <c r="BY96" s="1">
        <v>0.106</v>
      </c>
      <c r="BZ96" s="2">
        <f t="shared" si="91"/>
        <v>2.0000000000000018E-3</v>
      </c>
      <c r="CA96" s="1">
        <v>0.11799999999999999</v>
      </c>
      <c r="CB96" s="2">
        <f t="shared" si="92"/>
        <v>-0.371</v>
      </c>
      <c r="CC96" s="1">
        <v>0.187</v>
      </c>
      <c r="CD96" s="2">
        <f t="shared" si="93"/>
        <v>-2.7999999999999997E-2</v>
      </c>
      <c r="CE96" s="1">
        <v>0.24099999999999999</v>
      </c>
      <c r="CF96" s="2">
        <f t="shared" si="94"/>
        <v>5.8999999999999997E-2</v>
      </c>
      <c r="CG96" s="1">
        <v>0.152</v>
      </c>
      <c r="CH96" s="2">
        <f t="shared" si="95"/>
        <v>-3.9000000000000007E-2</v>
      </c>
      <c r="CI96" s="1">
        <v>0.19600000000000001</v>
      </c>
      <c r="CJ96">
        <f t="shared" si="96"/>
        <v>-1.3999999999999985E-2</v>
      </c>
      <c r="CK96" s="1">
        <v>0.28599999999999998</v>
      </c>
      <c r="CL96">
        <f t="shared" si="97"/>
        <v>9.099999999999997E-2</v>
      </c>
      <c r="CM96" s="1">
        <v>0.218</v>
      </c>
      <c r="CN96">
        <f t="shared" si="98"/>
        <v>1.100000000000001E-2</v>
      </c>
      <c r="CO96" s="1">
        <v>0.17299999999999999</v>
      </c>
      <c r="CP96">
        <f t="shared" si="99"/>
        <v>-4.4000000000000011E-2</v>
      </c>
      <c r="CQ96" s="1">
        <v>0.39800000000000002</v>
      </c>
      <c r="CR96">
        <f t="shared" si="100"/>
        <v>0.19900000000000001</v>
      </c>
      <c r="CS96" s="1">
        <v>0.23</v>
      </c>
      <c r="CT96">
        <f t="shared" si="101"/>
        <v>0.03</v>
      </c>
      <c r="CU96" s="1">
        <v>0.16300000000000001</v>
      </c>
      <c r="CV96">
        <f t="shared" si="102"/>
        <v>-5.6999999999999995E-2</v>
      </c>
      <c r="CW96" s="1">
        <v>0.96099999999999997</v>
      </c>
      <c r="CX96">
        <f t="shared" si="103"/>
        <v>0.755</v>
      </c>
      <c r="CY96" s="1">
        <v>0.29499999999999998</v>
      </c>
      <c r="CZ96">
        <f t="shared" si="104"/>
        <v>8.6999999999999994E-2</v>
      </c>
      <c r="DA96">
        <v>0.307</v>
      </c>
      <c r="DB96">
        <f t="shared" si="105"/>
        <v>9.0999999999999998E-2</v>
      </c>
      <c r="DC96">
        <v>0.91100000000000003</v>
      </c>
      <c r="DD96">
        <f t="shared" si="106"/>
        <v>0.70799999999999996</v>
      </c>
      <c r="DE96">
        <v>0.49099999999999999</v>
      </c>
      <c r="DF96">
        <f t="shared" si="107"/>
        <v>0.28600000000000003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Vargas, Nataly</dc:creator>
  <cp:keywords/>
  <dc:description/>
  <cp:lastModifiedBy/>
  <cp:revision/>
  <dcterms:created xsi:type="dcterms:W3CDTF">2026-02-20T17:07:10Z</dcterms:created>
  <dcterms:modified xsi:type="dcterms:W3CDTF">2026-03-04T16:13:16Z</dcterms:modified>
  <cp:category/>
  <cp:contentStatus/>
</cp:coreProperties>
</file>